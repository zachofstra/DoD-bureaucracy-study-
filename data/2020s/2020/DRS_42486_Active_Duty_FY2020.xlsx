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DRS 42486\"/>
    </mc:Choice>
  </mc:AlternateContent>
  <bookViews>
    <workbookView xWindow="1050" yWindow="11510" windowWidth="15510" windowHeight="10440" firstSheet="8" activeTab="11"/>
  </bookViews>
  <sheets>
    <sheet name="DRS 42486 - 201910" sheetId="12" r:id="rId1"/>
    <sheet name="DRS 42486 - 201911" sheetId="11" r:id="rId2"/>
    <sheet name="DRS 42486 - 201912" sheetId="10" r:id="rId3"/>
    <sheet name="DRS 42486 - 202001" sheetId="9" r:id="rId4"/>
    <sheet name="DRS 42486 - 202002" sheetId="8" r:id="rId5"/>
    <sheet name="DRS 42486 - 202003" sheetId="7" r:id="rId6"/>
    <sheet name="DRS 42486 - 202004" sheetId="6" r:id="rId7"/>
    <sheet name="DRS 42486 - 202005" sheetId="5" r:id="rId8"/>
    <sheet name="DRS 42486 - 202006" sheetId="4" r:id="rId9"/>
    <sheet name="DRS 42486 - 202007" sheetId="2" r:id="rId10"/>
    <sheet name="DRS 42486 - 202008" sheetId="3" r:id="rId11"/>
    <sheet name="DRS 42486 - 202009" sheetId="1" r:id="rId12"/>
  </sheets>
  <definedNames>
    <definedName name="_xlnm.Print_Area" localSheetId="0">'DRS 42486 - 201910'!$A$1:$G$38</definedName>
    <definedName name="_xlnm.Print_Area" localSheetId="1">'DRS 42486 - 201911'!$A$1:$G$38</definedName>
    <definedName name="_xlnm.Print_Area" localSheetId="2">'DRS 42486 - 201912'!$A$1:$G$39</definedName>
    <definedName name="_xlnm.Print_Area" localSheetId="3">'DRS 42486 - 202001'!$A$1:$G$39</definedName>
    <definedName name="_xlnm.Print_Area" localSheetId="4">'DRS 42486 - 202002'!$A$1:$G$39</definedName>
    <definedName name="_xlnm.Print_Area" localSheetId="5">'DRS 42486 - 202003'!$A$1:$G$38</definedName>
    <definedName name="_xlnm.Print_Area" localSheetId="6">'DRS 42486 - 202004'!$A$1:$G$38</definedName>
    <definedName name="_xlnm.Print_Area" localSheetId="7">'DRS 42486 - 202005'!$A$1:$G$38</definedName>
    <definedName name="_xlnm.Print_Area" localSheetId="8">'DRS 42486 - 202006'!$A$1:$G$38</definedName>
    <definedName name="_xlnm.Print_Area" localSheetId="9">'DRS 42486 - 202007'!$A$1:$G$38</definedName>
    <definedName name="_xlnm.Print_Area" localSheetId="10">'DRS 42486 - 202008'!$A$1:$G$38</definedName>
    <definedName name="_xlnm.Print_Area" localSheetId="11">'DRS 42486 - 202009'!$A$1:$G$38</definedName>
  </definedNames>
  <calcPr calcId="162913"/>
</workbook>
</file>

<file path=xl/calcChain.xml><?xml version="1.0" encoding="utf-8"?>
<calcChain xmlns="http://schemas.openxmlformats.org/spreadsheetml/2006/main">
  <c r="B24" i="12" l="1"/>
  <c r="C24" i="12"/>
  <c r="D24" i="12"/>
  <c r="E24" i="12"/>
  <c r="F24" i="12"/>
  <c r="B35" i="12"/>
  <c r="C35" i="12"/>
  <c r="D35" i="12"/>
  <c r="E35" i="12"/>
  <c r="F35" i="12"/>
  <c r="F36" i="12"/>
  <c r="B37" i="12"/>
  <c r="C37" i="12"/>
  <c r="D37" i="12"/>
  <c r="E37" i="12"/>
  <c r="F37" i="12"/>
  <c r="B24" i="11"/>
  <c r="C24" i="11"/>
  <c r="D24" i="11"/>
  <c r="E24" i="11"/>
  <c r="F24" i="11"/>
  <c r="B35" i="11"/>
  <c r="C35" i="11"/>
  <c r="D35" i="11"/>
  <c r="E35" i="11"/>
  <c r="F35" i="11"/>
  <c r="F36" i="11"/>
  <c r="B37" i="11"/>
  <c r="C37" i="11"/>
  <c r="D37" i="11"/>
  <c r="E37" i="11"/>
  <c r="F37" i="11"/>
  <c r="B25" i="10"/>
  <c r="C25" i="10"/>
  <c r="D25" i="10"/>
  <c r="E25" i="10"/>
  <c r="F25" i="10"/>
  <c r="B36" i="10"/>
  <c r="C36" i="10"/>
  <c r="D36" i="10"/>
  <c r="E36" i="10"/>
  <c r="F36" i="10"/>
  <c r="F37" i="10"/>
  <c r="B38" i="10"/>
  <c r="C38" i="10"/>
  <c r="D38" i="10"/>
  <c r="E38" i="10"/>
  <c r="F38" i="10"/>
  <c r="B25" i="9"/>
  <c r="C25" i="9"/>
  <c r="D25" i="9"/>
  <c r="E25" i="9"/>
  <c r="F25" i="9"/>
  <c r="B36" i="9"/>
  <c r="C36" i="9"/>
  <c r="D36" i="9"/>
  <c r="E36" i="9"/>
  <c r="F36" i="9"/>
  <c r="F37" i="9"/>
  <c r="B38" i="9"/>
  <c r="C38" i="9"/>
  <c r="D38" i="9"/>
  <c r="E38" i="9"/>
  <c r="F38" i="9"/>
  <c r="B25" i="8"/>
  <c r="C25" i="8"/>
  <c r="D25" i="8"/>
  <c r="E25" i="8"/>
  <c r="F25" i="8"/>
  <c r="B36" i="8"/>
  <c r="C36" i="8"/>
  <c r="D36" i="8"/>
  <c r="E36" i="8"/>
  <c r="F36" i="8"/>
  <c r="F37" i="8"/>
  <c r="B38" i="8"/>
  <c r="C38" i="8"/>
  <c r="D38" i="8"/>
  <c r="E38" i="8"/>
  <c r="F38" i="8"/>
  <c r="B24" i="7"/>
  <c r="C24" i="7"/>
  <c r="D24" i="7"/>
  <c r="E24" i="7"/>
  <c r="F24" i="7"/>
  <c r="B35" i="7"/>
  <c r="C35" i="7"/>
  <c r="D35" i="7"/>
  <c r="E35" i="7"/>
  <c r="F35" i="7"/>
  <c r="F36" i="7"/>
  <c r="B37" i="7"/>
  <c r="C37" i="7"/>
  <c r="D37" i="7"/>
  <c r="E37" i="7"/>
  <c r="F37" i="7"/>
  <c r="B24" i="6"/>
  <c r="C24" i="6"/>
  <c r="D24" i="6"/>
  <c r="E24" i="6"/>
  <c r="F24" i="6"/>
  <c r="B35" i="6"/>
  <c r="C35" i="6"/>
  <c r="D35" i="6"/>
  <c r="E35" i="6"/>
  <c r="F35" i="6"/>
  <c r="F36" i="6"/>
  <c r="B37" i="6"/>
  <c r="C37" i="6"/>
  <c r="D37" i="6"/>
  <c r="E37" i="6"/>
  <c r="F37" i="6"/>
  <c r="B24" i="5"/>
  <c r="C24" i="5"/>
  <c r="D24" i="5"/>
  <c r="E24" i="5"/>
  <c r="F24" i="5"/>
  <c r="B35" i="5"/>
  <c r="C35" i="5"/>
  <c r="D35" i="5"/>
  <c r="E35" i="5"/>
  <c r="F35" i="5"/>
  <c r="F36" i="5"/>
  <c r="B37" i="5"/>
  <c r="C37" i="5"/>
  <c r="D37" i="5"/>
  <c r="E37" i="5"/>
  <c r="F37" i="5"/>
  <c r="B24" i="4"/>
  <c r="C24" i="4"/>
  <c r="D24" i="4"/>
  <c r="E24" i="4"/>
  <c r="F24" i="4"/>
  <c r="B35" i="4"/>
  <c r="C35" i="4"/>
  <c r="D35" i="4"/>
  <c r="E35" i="4"/>
  <c r="F35" i="4"/>
  <c r="F36" i="4"/>
  <c r="B37" i="4"/>
  <c r="C37" i="4"/>
  <c r="D37" i="4"/>
  <c r="E37" i="4"/>
  <c r="F37" i="4"/>
  <c r="B24" i="3"/>
  <c r="C24" i="3"/>
  <c r="D24" i="3"/>
  <c r="E24" i="3"/>
  <c r="F24" i="3"/>
  <c r="B35" i="3"/>
  <c r="C35" i="3"/>
  <c r="D35" i="3"/>
  <c r="E35" i="3"/>
  <c r="F35" i="3"/>
  <c r="F36" i="3"/>
  <c r="B37" i="3"/>
  <c r="C37" i="3"/>
  <c r="D37" i="3"/>
  <c r="E37" i="3"/>
  <c r="F37" i="3"/>
  <c r="B24" i="2"/>
  <c r="C24" i="2"/>
  <c r="D24" i="2"/>
  <c r="E24" i="2"/>
  <c r="F24" i="2"/>
  <c r="B35" i="2"/>
  <c r="C35" i="2"/>
  <c r="D35" i="2"/>
  <c r="E35" i="2"/>
  <c r="F35" i="2"/>
  <c r="F36" i="2"/>
  <c r="B37" i="2"/>
  <c r="C37" i="2"/>
  <c r="D37" i="2"/>
  <c r="E37" i="2"/>
  <c r="F37" i="2"/>
  <c r="F36" i="1" l="1"/>
  <c r="B35" i="1" l="1"/>
  <c r="C35" i="1"/>
  <c r="D35" i="1"/>
  <c r="E35" i="1"/>
  <c r="F35" i="1"/>
  <c r="C24" i="1" l="1"/>
  <c r="D24" i="1"/>
  <c r="D37" i="1" s="1"/>
  <c r="E24" i="1"/>
  <c r="F24" i="1"/>
  <c r="F37" i="1" s="1"/>
  <c r="B24" i="1"/>
  <c r="E37" i="1" l="1"/>
  <c r="B37" i="1" l="1"/>
  <c r="C37" i="1"/>
</calcChain>
</file>

<file path=xl/sharedStrings.xml><?xml version="1.0" encoding="utf-8"?>
<sst xmlns="http://schemas.openxmlformats.org/spreadsheetml/2006/main" count="461" uniqueCount="53">
  <si>
    <t>Army</t>
  </si>
  <si>
    <t>Navy</t>
  </si>
  <si>
    <t>Marine Corps</t>
  </si>
  <si>
    <t>Air Force</t>
  </si>
  <si>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</si>
  <si>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</si>
  <si>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</si>
  <si>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</si>
  <si>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</si>
  <si>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</si>
  <si>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</si>
  <si>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</si>
  <si>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</si>
  <si>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</si>
  <si>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</si>
  <si>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</si>
  <si>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</si>
  <si>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</si>
  <si>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</si>
  <si>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</si>
  <si>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</si>
  <si>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</si>
  <si>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</si>
  <si>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</si>
  <si>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</si>
  <si>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</si>
  <si>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</si>
  <si>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</si>
  <si>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</si>
  <si>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</si>
  <si>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</si>
  <si>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</si>
  <si>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</si>
  <si>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>CADETS-MIDSHIPMEN</t>
  </si>
  <si>
    <t>Active Duty Military Personnel by Rank/Grade and Service</t>
  </si>
  <si>
    <t>Service</t>
  </si>
  <si>
    <t>Total DoD</t>
  </si>
  <si>
    <t>July 31, 2020</t>
  </si>
  <si>
    <t>August 31, 2020</t>
  </si>
  <si>
    <t>ENLISTED GRADE UNKNOWN</t>
  </si>
  <si>
    <t>June 30, 2020</t>
  </si>
  <si>
    <t>Total Services</t>
  </si>
  <si>
    <t>Services</t>
  </si>
  <si>
    <t>May 31, 2020</t>
  </si>
  <si>
    <t>Active Duty Military Personnel by Rank/Grade</t>
  </si>
  <si>
    <t>April 30, 2020</t>
  </si>
  <si>
    <t>March 31, 2020</t>
  </si>
  <si>
    <t>UNKNOWN OFFICER GRADE</t>
  </si>
  <si>
    <t>February 29, 2020</t>
  </si>
  <si>
    <t>January 31, 2020</t>
  </si>
  <si>
    <t>December 31, 2019</t>
  </si>
  <si>
    <t>November 30, 2019</t>
  </si>
  <si>
    <t>October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</si>
</sst>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  <xf numFmtId="0" fontId="3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6" fillId="0" borderId="16" xfId="0" applyFont="1" applyBorder="1"/>
    <xf numFmtId="0" fontId="27" fillId="0" borderId="16" xfId="0" applyFont="1" applyBorder="1"/>
    <xf numFmtId="0" fontId="30" fillId="0" borderId="17" xfId="0" applyFont="1" applyFill="1" applyBorder="1" applyAlignment="1">
      <alignment horizontal="center"/>
    </xf>
    <xf numFmtId="0" fontId="27" fillId="0" borderId="19" xfId="0" applyFont="1" applyBorder="1"/>
    <xf numFmtId="3" fontId="0" fillId="2" borderId="20" xfId="0" applyNumberFormat="1" applyFill="1" applyBorder="1"/>
    <xf numFmtId="3" fontId="0" fillId="2" borderId="19" xfId="0" applyNumberFormat="1" applyFill="1" applyBorder="1"/>
    <xf numFmtId="3" fontId="0" fillId="2" borderId="22" xfId="0" applyNumberFormat="1" applyFill="1" applyBorder="1" applyAlignment="1">
      <alignment vertical="center"/>
    </xf>
    <xf numFmtId="3" fontId="0" fillId="2" borderId="21" xfId="0" applyNumberFormat="1" applyFill="1" applyBorder="1" applyAlignment="1">
      <alignment vertical="center"/>
    </xf>
    <xf numFmtId="3" fontId="0" fillId="0" borderId="14" xfId="0" applyNumberFormat="1" applyBorder="1"/>
    <xf numFmtId="3" fontId="0" fillId="0" borderId="16" xfId="0" applyNumberFormat="1" applyBorder="1"/>
    <xf numFmtId="0" fontId="27" fillId="0" borderId="23" xfId="0" applyFont="1" applyBorder="1"/>
    <xf numFmtId="0" fontId="31" fillId="0" borderId="21" xfId="0" applyFont="1" applyBorder="1"/>
    <xf numFmtId="3" fontId="0" fillId="0" borderId="0" xfId="0" applyNumberFormat="1"/>
    <xf numFmtId="3" fontId="0" fillId="34" borderId="24" xfId="0" applyNumberFormat="1" applyFill="1" applyBorder="1" applyAlignment="1">
      <alignment vertical="center"/>
    </xf>
    <xf numFmtId="0" fontId="0" fillId="0" borderId="25" xfId="0" applyBorder="1" applyAlignment="1">
      <alignment horizontal="right" wrapText="1"/>
    </xf>
    <xf numFmtId="3" fontId="0" fillId="0" borderId="25" xfId="0" applyNumberFormat="1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3" fontId="0" fillId="0" borderId="25" xfId="0" applyNumberFormat="1" applyBorder="1" applyAlignment="1">
      <alignment horizontal="right" wrapText="1"/>
    </xf>
    <xf numFmtId="3" fontId="0" fillId="0" borderId="25" xfId="0" applyNumberFormat="1" applyBorder="1" applyAlignment="1">
      <alignment horizontal="right" wrapText="1"/>
    </xf>
    <xf numFmtId="0" fontId="0" fillId="0" borderId="26" xfId="0" applyBorder="1"/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30" fillId="0" borderId="17" xfId="0" applyFont="1" applyBorder="1" applyAlignment="1">
      <alignment horizontal="center" wrapText="1"/>
    </xf>
    <xf numFmtId="0" fontId="0" fillId="2" borderId="1" xfId="0" applyFont="1" applyFill="1" applyBorder="1" applyAlignment="1"/>
    <xf numFmtId="0" fontId="0" fillId="2" borderId="1" xfId="0" applyFill="1" applyBorder="1" applyAlignment="1"/>
    <xf numFmtId="164" fontId="29" fillId="0" borderId="1" xfId="0" quotePrefix="1" applyNumberFormat="1" applyFont="1" applyBorder="1" applyAlignment="1">
      <alignment horizontal="center"/>
    </xf>
    <xf numFmtId="164" fontId="29" fillId="0" borderId="1" xfId="0" applyNumberFormat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5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27" fillId="0" borderId="21" xfId="0" applyFont="1" applyBorder="1"/>
    <xf numFmtId="15" fontId="29" fillId="0" borderId="1" xfId="0" quotePrefix="1" applyNumberFormat="1" applyFont="1" applyBorder="1" applyAlignment="1">
      <alignment horizontal="center"/>
    </xf>
    <xf numFmtId="3" fontId="0" fillId="0" borderId="27" xfId="0" applyNumberFormat="1" applyBorder="1" applyAlignment="1">
      <alignment horizontal="right" wrapText="1"/>
    </xf>
    <xf numFmtId="0" fontId="0" fillId="0" borderId="27" xfId="0" applyBorder="1" applyAlignment="1">
      <alignment horizontal="right" wrapText="1"/>
    </xf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itle 2" xfId="58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52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13</v>
      </c>
      <c r="C8" s="19">
        <v>8</v>
      </c>
      <c r="D8" s="19">
        <v>4</v>
      </c>
      <c r="E8" s="19">
        <v>12</v>
      </c>
      <c r="F8" s="19">
        <v>37</v>
      </c>
    </row>
    <row r="9" spans="1:6" x14ac:dyDescent="0.35">
      <c r="A9" s="3" t="s">
        <v>6</v>
      </c>
      <c r="B9" s="19">
        <v>44</v>
      </c>
      <c r="C9" s="19">
        <v>40</v>
      </c>
      <c r="D9" s="19">
        <v>16</v>
      </c>
      <c r="E9" s="19">
        <v>43</v>
      </c>
      <c r="F9" s="19">
        <v>143</v>
      </c>
    </row>
    <row r="10" spans="1:6" x14ac:dyDescent="0.35">
      <c r="A10" s="3" t="s">
        <v>7</v>
      </c>
      <c r="B10" s="19">
        <v>112</v>
      </c>
      <c r="C10" s="19">
        <v>62</v>
      </c>
      <c r="D10" s="19">
        <v>28</v>
      </c>
      <c r="E10" s="19">
        <v>90</v>
      </c>
      <c r="F10" s="19">
        <v>292</v>
      </c>
    </row>
    <row r="11" spans="1:6" x14ac:dyDescent="0.35">
      <c r="A11" s="3" t="s">
        <v>8</v>
      </c>
      <c r="B11" s="19">
        <v>127</v>
      </c>
      <c r="C11" s="19">
        <v>104</v>
      </c>
      <c r="D11" s="19">
        <v>37</v>
      </c>
      <c r="E11" s="19">
        <v>144</v>
      </c>
      <c r="F11" s="19">
        <v>412</v>
      </c>
    </row>
    <row r="12" spans="1:6" x14ac:dyDescent="0.35">
      <c r="A12" s="3" t="s">
        <v>9</v>
      </c>
      <c r="B12" s="21">
        <v>4091</v>
      </c>
      <c r="C12" s="21">
        <v>3181</v>
      </c>
      <c r="D12" s="19">
        <v>643</v>
      </c>
      <c r="E12" s="21">
        <v>3251</v>
      </c>
      <c r="F12" s="21">
        <v>11166</v>
      </c>
    </row>
    <row r="13" spans="1:6" x14ac:dyDescent="0.35">
      <c r="A13" s="3" t="s">
        <v>10</v>
      </c>
      <c r="B13" s="21">
        <v>8657</v>
      </c>
      <c r="C13" s="21">
        <v>6740</v>
      </c>
      <c r="D13" s="21">
        <v>1921</v>
      </c>
      <c r="E13" s="21">
        <v>9717</v>
      </c>
      <c r="F13" s="21">
        <v>27035</v>
      </c>
    </row>
    <row r="14" spans="1:6" x14ac:dyDescent="0.35">
      <c r="A14" s="3" t="s">
        <v>11</v>
      </c>
      <c r="B14" s="21">
        <v>15351</v>
      </c>
      <c r="C14" s="21">
        <v>10268</v>
      </c>
      <c r="D14" s="21">
        <v>3939</v>
      </c>
      <c r="E14" s="21">
        <v>14052</v>
      </c>
      <c r="F14" s="21">
        <v>43610</v>
      </c>
    </row>
    <row r="15" spans="1:6" x14ac:dyDescent="0.35">
      <c r="A15" s="3" t="s">
        <v>12</v>
      </c>
      <c r="B15" s="21">
        <v>28348</v>
      </c>
      <c r="C15" s="21">
        <v>18635</v>
      </c>
      <c r="D15" s="21">
        <v>5966</v>
      </c>
      <c r="E15" s="21">
        <v>20548</v>
      </c>
      <c r="F15" s="21">
        <v>73497</v>
      </c>
    </row>
    <row r="16" spans="1:6" x14ac:dyDescent="0.35">
      <c r="A16" s="3" t="s">
        <v>13</v>
      </c>
      <c r="B16" s="21">
        <v>10970</v>
      </c>
      <c r="C16" s="21">
        <v>7014</v>
      </c>
      <c r="D16" s="21">
        <v>3518</v>
      </c>
      <c r="E16" s="21">
        <v>7613</v>
      </c>
      <c r="F16" s="21">
        <v>29115</v>
      </c>
    </row>
    <row r="17" spans="1:6" x14ac:dyDescent="0.35">
      <c r="A17" s="3" t="s">
        <v>14</v>
      </c>
      <c r="B17" s="21">
        <v>10435</v>
      </c>
      <c r="C17" s="21">
        <v>7214</v>
      </c>
      <c r="D17" s="21">
        <v>3249</v>
      </c>
      <c r="E17" s="21">
        <v>8310</v>
      </c>
      <c r="F17" s="21">
        <v>29208</v>
      </c>
    </row>
    <row r="18" spans="1:6" x14ac:dyDescent="0.35">
      <c r="A18" s="3" t="s">
        <v>15</v>
      </c>
      <c r="B18" s="19">
        <v>595</v>
      </c>
      <c r="C18" s="19">
        <v>82</v>
      </c>
      <c r="D18" s="19">
        <v>106</v>
      </c>
      <c r="E18" s="19">
        <v>0</v>
      </c>
      <c r="F18" s="19">
        <v>783</v>
      </c>
    </row>
    <row r="19" spans="1:6" x14ac:dyDescent="0.35">
      <c r="A19" s="3" t="s">
        <v>16</v>
      </c>
      <c r="B19" s="21">
        <v>1921</v>
      </c>
      <c r="C19" s="19">
        <v>392</v>
      </c>
      <c r="D19" s="19">
        <v>302</v>
      </c>
      <c r="E19" s="19">
        <v>0</v>
      </c>
      <c r="F19" s="21">
        <v>2615</v>
      </c>
    </row>
    <row r="20" spans="1:6" x14ac:dyDescent="0.35">
      <c r="A20" s="3" t="s">
        <v>17</v>
      </c>
      <c r="B20" s="21">
        <v>3847</v>
      </c>
      <c r="C20" s="19">
        <v>702</v>
      </c>
      <c r="D20" s="19">
        <v>594</v>
      </c>
      <c r="E20" s="19">
        <v>0</v>
      </c>
      <c r="F20" s="21">
        <v>5143</v>
      </c>
    </row>
    <row r="21" spans="1:6" x14ac:dyDescent="0.35">
      <c r="A21" s="3" t="s">
        <v>18</v>
      </c>
      <c r="B21" s="21">
        <v>5314</v>
      </c>
      <c r="C21" s="19">
        <v>621</v>
      </c>
      <c r="D21" s="19">
        <v>876</v>
      </c>
      <c r="E21" s="19">
        <v>0</v>
      </c>
      <c r="F21" s="21">
        <v>6811</v>
      </c>
    </row>
    <row r="22" spans="1:6" x14ac:dyDescent="0.35">
      <c r="A22" s="3" t="s">
        <v>19</v>
      </c>
      <c r="B22" s="21">
        <v>2699</v>
      </c>
      <c r="C22" s="19">
        <v>0</v>
      </c>
      <c r="D22" s="19">
        <v>255</v>
      </c>
      <c r="E22" s="19">
        <v>0</v>
      </c>
      <c r="F22" s="21">
        <v>2954</v>
      </c>
    </row>
    <row r="23" spans="1:6" ht="15" thickBot="1" x14ac:dyDescent="0.4">
      <c r="A23" s="4"/>
    </row>
    <row r="24" spans="1:6" ht="25" customHeight="1" thickBot="1" x14ac:dyDescent="0.4">
      <c r="A24" s="6" t="s">
        <v>20</v>
      </c>
      <c r="B24" s="7">
        <f>SUM(B8:B23)</f>
        <v>92524</v>
      </c>
      <c r="C24" s="7">
        <f>SUM(C8:C23)</f>
        <v>55063</v>
      </c>
      <c r="D24" s="7">
        <f>SUM(D8:D23)</f>
        <v>21454</v>
      </c>
      <c r="E24" s="7">
        <f>SUM(E8:E23)</f>
        <v>63780</v>
      </c>
      <c r="F24" s="7">
        <f>SUM(F8:F23)</f>
        <v>232821</v>
      </c>
    </row>
    <row r="25" spans="1:6" x14ac:dyDescent="0.35">
      <c r="A25" s="3" t="s">
        <v>21</v>
      </c>
      <c r="B25" s="21">
        <v>3504</v>
      </c>
      <c r="C25" s="21">
        <v>2738</v>
      </c>
      <c r="D25" s="21">
        <v>1577</v>
      </c>
      <c r="E25" s="21">
        <v>2587</v>
      </c>
      <c r="F25" s="21">
        <v>10406</v>
      </c>
    </row>
    <row r="26" spans="1:6" x14ac:dyDescent="0.35">
      <c r="A26" s="3" t="s">
        <v>22</v>
      </c>
      <c r="B26" s="21">
        <v>11130</v>
      </c>
      <c r="C26" s="21">
        <v>6906</v>
      </c>
      <c r="D26" s="21">
        <v>3950</v>
      </c>
      <c r="E26" s="21">
        <v>5371</v>
      </c>
      <c r="F26" s="21">
        <v>27357</v>
      </c>
    </row>
    <row r="27" spans="1:6" x14ac:dyDescent="0.35">
      <c r="A27" s="3" t="s">
        <v>23</v>
      </c>
      <c r="B27" s="21">
        <v>35575</v>
      </c>
      <c r="C27" s="21">
        <v>21904</v>
      </c>
      <c r="D27" s="21">
        <v>8557</v>
      </c>
      <c r="E27" s="21">
        <v>26508</v>
      </c>
      <c r="F27" s="21">
        <v>92544</v>
      </c>
    </row>
    <row r="28" spans="1:6" x14ac:dyDescent="0.35">
      <c r="A28" s="3" t="s">
        <v>24</v>
      </c>
      <c r="B28" s="21">
        <v>56059</v>
      </c>
      <c r="C28" s="21">
        <v>50480</v>
      </c>
      <c r="D28" s="21">
        <v>14515</v>
      </c>
      <c r="E28" s="21">
        <v>39890</v>
      </c>
      <c r="F28" s="21">
        <v>160944</v>
      </c>
    </row>
    <row r="29" spans="1:6" x14ac:dyDescent="0.35">
      <c r="A29" s="3" t="s">
        <v>25</v>
      </c>
      <c r="B29" s="21">
        <v>68345</v>
      </c>
      <c r="C29" s="21">
        <v>70485</v>
      </c>
      <c r="D29" s="21">
        <v>26174</v>
      </c>
      <c r="E29" s="21">
        <v>61407</v>
      </c>
      <c r="F29" s="21">
        <v>226411</v>
      </c>
    </row>
    <row r="30" spans="1:6" x14ac:dyDescent="0.35">
      <c r="A30" s="3" t="s">
        <v>26</v>
      </c>
      <c r="B30" s="21">
        <v>109466</v>
      </c>
      <c r="C30" s="21">
        <v>53662</v>
      </c>
      <c r="D30" s="21">
        <v>35482</v>
      </c>
      <c r="E30" s="21">
        <v>54849</v>
      </c>
      <c r="F30" s="21">
        <v>253459</v>
      </c>
    </row>
    <row r="31" spans="1:6" x14ac:dyDescent="0.35">
      <c r="A31" s="3" t="s">
        <v>27</v>
      </c>
      <c r="B31" s="21">
        <v>49185</v>
      </c>
      <c r="C31" s="21">
        <v>42543</v>
      </c>
      <c r="D31" s="21">
        <v>42993</v>
      </c>
      <c r="E31" s="21">
        <v>55265</v>
      </c>
      <c r="F31" s="21">
        <v>189986</v>
      </c>
    </row>
    <row r="32" spans="1:6" x14ac:dyDescent="0.35">
      <c r="A32" s="3" t="s">
        <v>28</v>
      </c>
      <c r="B32" s="21">
        <v>26481</v>
      </c>
      <c r="C32" s="21">
        <v>16708</v>
      </c>
      <c r="D32" s="21">
        <v>20136</v>
      </c>
      <c r="E32" s="21">
        <v>7702</v>
      </c>
      <c r="F32" s="21">
        <v>71027</v>
      </c>
    </row>
    <row r="33" spans="1:6" x14ac:dyDescent="0.35">
      <c r="A33" s="3" t="s">
        <v>29</v>
      </c>
      <c r="B33" s="21">
        <v>26367</v>
      </c>
      <c r="C33" s="21">
        <v>11742</v>
      </c>
      <c r="D33" s="21">
        <v>10612</v>
      </c>
      <c r="E33" s="21">
        <v>10724</v>
      </c>
      <c r="F33" s="21">
        <v>59445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386112</v>
      </c>
      <c r="C35" s="7">
        <f>SUM(C25:C34)</f>
        <v>277168</v>
      </c>
      <c r="D35" s="7">
        <f>SUM(D25:D34)</f>
        <v>163996</v>
      </c>
      <c r="E35" s="7">
        <f>SUM(E25:E34)</f>
        <v>264303</v>
      </c>
      <c r="F35" s="7">
        <f>SUM(F25:F34)</f>
        <v>1091579</v>
      </c>
    </row>
    <row r="36" spans="1:6" ht="15" thickBot="1" x14ac:dyDescent="0.4">
      <c r="A36" s="36" t="s">
        <v>33</v>
      </c>
      <c r="B36" s="9">
        <v>4517</v>
      </c>
      <c r="C36" s="10">
        <v>4450</v>
      </c>
      <c r="D36" s="10">
        <v>0</v>
      </c>
      <c r="E36" s="8">
        <v>4209</v>
      </c>
      <c r="F36" s="8">
        <f>SUM(B36:E36)</f>
        <v>13176</v>
      </c>
    </row>
    <row r="37" spans="1:6" ht="30" customHeight="1" thickTop="1" thickBot="1" x14ac:dyDescent="0.4">
      <c r="A37" s="13" t="s">
        <v>31</v>
      </c>
      <c r="B37" s="16">
        <f>SUM(B36,B24,B35)</f>
        <v>483153</v>
      </c>
      <c r="C37" s="16">
        <f>SUM(C36,C24,C35)</f>
        <v>336681</v>
      </c>
      <c r="D37" s="16">
        <f>SUM(D36,D24,D35)</f>
        <v>185450</v>
      </c>
      <c r="E37" s="16">
        <f>SUM(E36,E24,E35)</f>
        <v>332292</v>
      </c>
      <c r="F37" s="16">
        <f>SUM(F36,F24,F35)</f>
        <v>1337576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51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47</v>
      </c>
      <c r="C9" s="19">
        <v>38</v>
      </c>
      <c r="D9" s="19">
        <v>16</v>
      </c>
      <c r="E9" s="19">
        <v>43</v>
      </c>
      <c r="F9" s="19">
        <v>144</v>
      </c>
    </row>
    <row r="10" spans="1:6" x14ac:dyDescent="0.35">
      <c r="A10" s="3" t="s">
        <v>7</v>
      </c>
      <c r="B10" s="19">
        <v>108</v>
      </c>
      <c r="C10" s="19">
        <v>61</v>
      </c>
      <c r="D10" s="19">
        <v>28</v>
      </c>
      <c r="E10" s="19">
        <v>90</v>
      </c>
      <c r="F10" s="19">
        <v>287</v>
      </c>
    </row>
    <row r="11" spans="1:6" x14ac:dyDescent="0.35">
      <c r="A11" s="3" t="s">
        <v>8</v>
      </c>
      <c r="B11" s="19">
        <v>128</v>
      </c>
      <c r="C11" s="19">
        <v>108</v>
      </c>
      <c r="D11" s="19">
        <v>36</v>
      </c>
      <c r="E11" s="19">
        <v>144</v>
      </c>
      <c r="F11" s="19">
        <v>416</v>
      </c>
    </row>
    <row r="12" spans="1:6" x14ac:dyDescent="0.35">
      <c r="A12" s="3" t="s">
        <v>9</v>
      </c>
      <c r="B12" s="21">
        <v>4089</v>
      </c>
      <c r="C12" s="21">
        <v>3165</v>
      </c>
      <c r="D12" s="19">
        <v>646</v>
      </c>
      <c r="E12" s="21">
        <v>3228</v>
      </c>
      <c r="F12" s="21">
        <v>11128</v>
      </c>
    </row>
    <row r="13" spans="1:6" x14ac:dyDescent="0.35">
      <c r="A13" s="3" t="s">
        <v>10</v>
      </c>
      <c r="B13" s="21">
        <v>8689</v>
      </c>
      <c r="C13" s="21">
        <v>6730</v>
      </c>
      <c r="D13" s="21">
        <v>1917</v>
      </c>
      <c r="E13" s="21">
        <v>9743</v>
      </c>
      <c r="F13" s="21">
        <v>27079</v>
      </c>
    </row>
    <row r="14" spans="1:6" x14ac:dyDescent="0.35">
      <c r="A14" s="3" t="s">
        <v>11</v>
      </c>
      <c r="B14" s="21">
        <v>15379</v>
      </c>
      <c r="C14" s="21">
        <v>10260</v>
      </c>
      <c r="D14" s="21">
        <v>3943</v>
      </c>
      <c r="E14" s="21">
        <v>14087</v>
      </c>
      <c r="F14" s="21">
        <v>43669</v>
      </c>
    </row>
    <row r="15" spans="1:6" x14ac:dyDescent="0.35">
      <c r="A15" s="3" t="s">
        <v>12</v>
      </c>
      <c r="B15" s="21">
        <v>28338</v>
      </c>
      <c r="C15" s="21">
        <v>18446</v>
      </c>
      <c r="D15" s="21">
        <v>6024</v>
      </c>
      <c r="E15" s="21">
        <v>20363</v>
      </c>
      <c r="F15" s="21">
        <v>73171</v>
      </c>
    </row>
    <row r="16" spans="1:6" x14ac:dyDescent="0.35">
      <c r="A16" s="3" t="s">
        <v>13</v>
      </c>
      <c r="B16" s="21">
        <v>13143</v>
      </c>
      <c r="C16" s="21">
        <v>7210</v>
      </c>
      <c r="D16" s="21">
        <v>3580</v>
      </c>
      <c r="E16" s="21">
        <v>7866</v>
      </c>
      <c r="F16" s="21">
        <v>31799</v>
      </c>
    </row>
    <row r="17" spans="1:6" x14ac:dyDescent="0.35">
      <c r="A17" s="3" t="s">
        <v>14</v>
      </c>
      <c r="B17" s="21">
        <v>8039</v>
      </c>
      <c r="C17" s="21">
        <v>7201</v>
      </c>
      <c r="D17" s="21">
        <v>3223</v>
      </c>
      <c r="E17" s="21">
        <v>7976</v>
      </c>
      <c r="F17" s="21">
        <v>26439</v>
      </c>
    </row>
    <row r="18" spans="1:6" x14ac:dyDescent="0.35">
      <c r="A18" s="3" t="s">
        <v>15</v>
      </c>
      <c r="B18" s="19">
        <v>592</v>
      </c>
      <c r="C18" s="19">
        <v>80</v>
      </c>
      <c r="D18" s="19">
        <v>106</v>
      </c>
      <c r="E18" s="19">
        <v>0</v>
      </c>
      <c r="F18" s="19">
        <v>778</v>
      </c>
    </row>
    <row r="19" spans="1:6" x14ac:dyDescent="0.35">
      <c r="A19" s="3" t="s">
        <v>16</v>
      </c>
      <c r="B19" s="21">
        <v>1927</v>
      </c>
      <c r="C19" s="19">
        <v>398</v>
      </c>
      <c r="D19" s="19">
        <v>301</v>
      </c>
      <c r="E19" s="19">
        <v>0</v>
      </c>
      <c r="F19" s="21">
        <v>2626</v>
      </c>
    </row>
    <row r="20" spans="1:6" x14ac:dyDescent="0.35">
      <c r="A20" s="3" t="s">
        <v>17</v>
      </c>
      <c r="B20" s="21">
        <v>3839</v>
      </c>
      <c r="C20" s="19">
        <v>727</v>
      </c>
      <c r="D20" s="19">
        <v>582</v>
      </c>
      <c r="E20" s="19">
        <v>0</v>
      </c>
      <c r="F20" s="21">
        <v>5148</v>
      </c>
    </row>
    <row r="21" spans="1:6" x14ac:dyDescent="0.35">
      <c r="A21" s="3" t="s">
        <v>18</v>
      </c>
      <c r="B21" s="21">
        <v>5422</v>
      </c>
      <c r="C21" s="19">
        <v>604</v>
      </c>
      <c r="D21" s="19">
        <v>873</v>
      </c>
      <c r="E21" s="19">
        <v>0</v>
      </c>
      <c r="F21" s="21">
        <v>6899</v>
      </c>
    </row>
    <row r="22" spans="1:6" x14ac:dyDescent="0.35">
      <c r="A22" s="3" t="s">
        <v>19</v>
      </c>
      <c r="B22" s="21">
        <v>2571</v>
      </c>
      <c r="C22" s="19">
        <v>8</v>
      </c>
      <c r="D22" s="19">
        <v>253</v>
      </c>
      <c r="E22" s="19">
        <v>0</v>
      </c>
      <c r="F22" s="21">
        <v>2832</v>
      </c>
    </row>
    <row r="23" spans="1:6" ht="15" thickBot="1" x14ac:dyDescent="0.4">
      <c r="A23" s="4"/>
    </row>
    <row r="24" spans="1:6" ht="25" customHeight="1" thickBot="1" x14ac:dyDescent="0.4">
      <c r="A24" s="6" t="s">
        <v>20</v>
      </c>
      <c r="B24" s="7">
        <f>SUM(B8:B23)</f>
        <v>92325</v>
      </c>
      <c r="C24" s="7">
        <f>SUM(C8:C23)</f>
        <v>55045</v>
      </c>
      <c r="D24" s="7">
        <f>SUM(D8:D23)</f>
        <v>21531</v>
      </c>
      <c r="E24" s="7">
        <f>SUM(E8:E23)</f>
        <v>63552</v>
      </c>
      <c r="F24" s="7">
        <f>SUM(F8:F23)</f>
        <v>232453</v>
      </c>
    </row>
    <row r="25" spans="1:6" x14ac:dyDescent="0.35">
      <c r="A25" s="3" t="s">
        <v>21</v>
      </c>
      <c r="B25" s="21">
        <v>3514</v>
      </c>
      <c r="C25" s="21">
        <v>2740</v>
      </c>
      <c r="D25" s="21">
        <v>1603</v>
      </c>
      <c r="E25" s="21">
        <v>2581</v>
      </c>
      <c r="F25" s="21">
        <v>10438</v>
      </c>
    </row>
    <row r="26" spans="1:6" x14ac:dyDescent="0.35">
      <c r="A26" s="3" t="s">
        <v>22</v>
      </c>
      <c r="B26" s="21">
        <v>11009</v>
      </c>
      <c r="C26" s="21">
        <v>6893</v>
      </c>
      <c r="D26" s="21">
        <v>3926</v>
      </c>
      <c r="E26" s="21">
        <v>5384</v>
      </c>
      <c r="F26" s="21">
        <v>27212</v>
      </c>
    </row>
    <row r="27" spans="1:6" x14ac:dyDescent="0.35">
      <c r="A27" s="3" t="s">
        <v>23</v>
      </c>
      <c r="B27" s="21">
        <v>35717</v>
      </c>
      <c r="C27" s="21">
        <v>21850</v>
      </c>
      <c r="D27" s="21">
        <v>8638</v>
      </c>
      <c r="E27" s="21">
        <v>26598</v>
      </c>
      <c r="F27" s="21">
        <v>92803</v>
      </c>
    </row>
    <row r="28" spans="1:6" x14ac:dyDescent="0.35">
      <c r="A28" s="3" t="s">
        <v>24</v>
      </c>
      <c r="B28" s="21">
        <v>56417</v>
      </c>
      <c r="C28" s="21">
        <v>50168</v>
      </c>
      <c r="D28" s="21">
        <v>14418</v>
      </c>
      <c r="E28" s="21">
        <v>40090</v>
      </c>
      <c r="F28" s="21">
        <v>161093</v>
      </c>
    </row>
    <row r="29" spans="1:6" x14ac:dyDescent="0.35">
      <c r="A29" s="3" t="s">
        <v>25</v>
      </c>
      <c r="B29" s="21">
        <v>68461</v>
      </c>
      <c r="C29" s="21">
        <v>70076</v>
      </c>
      <c r="D29" s="21">
        <v>26497</v>
      </c>
      <c r="E29" s="21">
        <v>61077</v>
      </c>
      <c r="F29" s="21">
        <v>226111</v>
      </c>
    </row>
    <row r="30" spans="1:6" x14ac:dyDescent="0.35">
      <c r="A30" s="3" t="s">
        <v>26</v>
      </c>
      <c r="B30" s="21">
        <v>108633</v>
      </c>
      <c r="C30" s="21">
        <v>53902</v>
      </c>
      <c r="D30" s="21">
        <v>35649</v>
      </c>
      <c r="E30" s="21">
        <v>55314</v>
      </c>
      <c r="F30" s="21">
        <v>253498</v>
      </c>
    </row>
    <row r="31" spans="1:6" x14ac:dyDescent="0.35">
      <c r="A31" s="3" t="s">
        <v>27</v>
      </c>
      <c r="B31" s="21">
        <v>48483</v>
      </c>
      <c r="C31" s="21">
        <v>43627</v>
      </c>
      <c r="D31" s="21">
        <v>43527</v>
      </c>
      <c r="E31" s="21">
        <v>55323</v>
      </c>
      <c r="F31" s="21">
        <v>190960</v>
      </c>
    </row>
    <row r="32" spans="1:6" x14ac:dyDescent="0.35">
      <c r="A32" s="3" t="s">
        <v>28</v>
      </c>
      <c r="B32" s="21">
        <v>26994</v>
      </c>
      <c r="C32" s="21">
        <v>16710</v>
      </c>
      <c r="D32" s="21">
        <v>19083</v>
      </c>
      <c r="E32" s="21">
        <v>7525</v>
      </c>
      <c r="F32" s="21">
        <v>70312</v>
      </c>
    </row>
    <row r="33" spans="1:6" x14ac:dyDescent="0.35">
      <c r="A33" s="3" t="s">
        <v>29</v>
      </c>
      <c r="B33" s="21">
        <v>25257</v>
      </c>
      <c r="C33" s="21">
        <v>11989</v>
      </c>
      <c r="D33" s="21">
        <v>11085</v>
      </c>
      <c r="E33" s="21">
        <v>10637</v>
      </c>
      <c r="F33" s="21">
        <v>58968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384485</v>
      </c>
      <c r="C35" s="7">
        <f>SUM(C25:C34)</f>
        <v>277955</v>
      </c>
      <c r="D35" s="7">
        <f>SUM(D25:D34)</f>
        <v>164426</v>
      </c>
      <c r="E35" s="7">
        <f>SUM(E25:E34)</f>
        <v>264529</v>
      </c>
      <c r="F35" s="7">
        <f>SUM(F25:F34)</f>
        <v>1091395</v>
      </c>
    </row>
    <row r="36" spans="1:6" ht="15" thickBot="1" x14ac:dyDescent="0.4">
      <c r="A36" s="36" t="s">
        <v>33</v>
      </c>
      <c r="B36" s="9">
        <v>4508</v>
      </c>
      <c r="C36" s="10">
        <v>4448</v>
      </c>
      <c r="D36" s="10">
        <v>0</v>
      </c>
      <c r="E36" s="8">
        <v>4201</v>
      </c>
      <c r="F36" s="8">
        <f>SUM(B36:E36)</f>
        <v>13157</v>
      </c>
    </row>
    <row r="37" spans="1:6" ht="30" customHeight="1" thickTop="1" thickBot="1" x14ac:dyDescent="0.4">
      <c r="A37" s="13" t="s">
        <v>31</v>
      </c>
      <c r="B37" s="16">
        <f>SUM(B36,B24,B35)</f>
        <v>481318</v>
      </c>
      <c r="C37" s="16">
        <f>SUM(C36,C24,C35)</f>
        <v>337448</v>
      </c>
      <c r="D37" s="16">
        <f>SUM(D36,D24,D35)</f>
        <v>185957</v>
      </c>
      <c r="E37" s="16">
        <f>SUM(E36,E24,E35)</f>
        <v>332282</v>
      </c>
      <c r="F37" s="16">
        <f>SUM(F36,F24,F35)</f>
        <v>1337005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50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48</v>
      </c>
      <c r="C9" s="19">
        <v>38</v>
      </c>
      <c r="D9" s="19">
        <v>16</v>
      </c>
      <c r="E9" s="19">
        <v>43</v>
      </c>
      <c r="F9" s="19">
        <v>145</v>
      </c>
    </row>
    <row r="10" spans="1:6" x14ac:dyDescent="0.35">
      <c r="A10" s="3" t="s">
        <v>7</v>
      </c>
      <c r="B10" s="19">
        <v>110</v>
      </c>
      <c r="C10" s="19">
        <v>60</v>
      </c>
      <c r="D10" s="19">
        <v>28</v>
      </c>
      <c r="E10" s="19">
        <v>93</v>
      </c>
      <c r="F10" s="19">
        <v>291</v>
      </c>
    </row>
    <row r="11" spans="1:6" x14ac:dyDescent="0.35">
      <c r="A11" s="3" t="s">
        <v>8</v>
      </c>
      <c r="B11" s="19">
        <v>126</v>
      </c>
      <c r="C11" s="19">
        <v>108</v>
      </c>
      <c r="D11" s="19">
        <v>36</v>
      </c>
      <c r="E11" s="19">
        <v>134</v>
      </c>
      <c r="F11" s="19">
        <v>404</v>
      </c>
    </row>
    <row r="12" spans="1:6" x14ac:dyDescent="0.35">
      <c r="A12" s="3" t="s">
        <v>9</v>
      </c>
      <c r="B12" s="21">
        <v>4061</v>
      </c>
      <c r="C12" s="21">
        <v>3149</v>
      </c>
      <c r="D12" s="19">
        <v>646</v>
      </c>
      <c r="E12" s="21">
        <v>3239</v>
      </c>
      <c r="F12" s="21">
        <v>11095</v>
      </c>
    </row>
    <row r="13" spans="1:6" x14ac:dyDescent="0.35">
      <c r="A13" s="3" t="s">
        <v>10</v>
      </c>
      <c r="B13" s="21">
        <v>8750</v>
      </c>
      <c r="C13" s="21">
        <v>6719</v>
      </c>
      <c r="D13" s="21">
        <v>1916</v>
      </c>
      <c r="E13" s="21">
        <v>9776</v>
      </c>
      <c r="F13" s="21">
        <v>27161</v>
      </c>
    </row>
    <row r="14" spans="1:6" x14ac:dyDescent="0.35">
      <c r="A14" s="3" t="s">
        <v>11</v>
      </c>
      <c r="B14" s="21">
        <v>15399</v>
      </c>
      <c r="C14" s="21">
        <v>10501</v>
      </c>
      <c r="D14" s="21">
        <v>3944</v>
      </c>
      <c r="E14" s="21">
        <v>14120</v>
      </c>
      <c r="F14" s="21">
        <v>43964</v>
      </c>
    </row>
    <row r="15" spans="1:6" x14ac:dyDescent="0.35">
      <c r="A15" s="3" t="s">
        <v>12</v>
      </c>
      <c r="B15" s="21">
        <v>28049</v>
      </c>
      <c r="C15" s="21">
        <v>18518</v>
      </c>
      <c r="D15" s="21">
        <v>6069</v>
      </c>
      <c r="E15" s="21">
        <v>20359</v>
      </c>
      <c r="F15" s="21">
        <v>72995</v>
      </c>
    </row>
    <row r="16" spans="1:6" x14ac:dyDescent="0.35">
      <c r="A16" s="3" t="s">
        <v>13</v>
      </c>
      <c r="B16" s="21">
        <v>13070</v>
      </c>
      <c r="C16" s="21">
        <v>6795</v>
      </c>
      <c r="D16" s="21">
        <v>3547</v>
      </c>
      <c r="E16" s="21">
        <v>7644</v>
      </c>
      <c r="F16" s="21">
        <v>31056</v>
      </c>
    </row>
    <row r="17" spans="1:6" x14ac:dyDescent="0.35">
      <c r="A17" s="3" t="s">
        <v>14</v>
      </c>
      <c r="B17" s="21">
        <v>8068</v>
      </c>
      <c r="C17" s="21">
        <v>7257</v>
      </c>
      <c r="D17" s="21">
        <v>3208</v>
      </c>
      <c r="E17" s="21">
        <v>8206</v>
      </c>
      <c r="F17" s="21">
        <v>26739</v>
      </c>
    </row>
    <row r="18" spans="1:6" x14ac:dyDescent="0.35">
      <c r="A18" s="3" t="s">
        <v>15</v>
      </c>
      <c r="B18" s="19">
        <v>591</v>
      </c>
      <c r="C18" s="19">
        <v>81</v>
      </c>
      <c r="D18" s="19">
        <v>105</v>
      </c>
      <c r="E18" s="19">
        <v>0</v>
      </c>
      <c r="F18" s="19">
        <v>777</v>
      </c>
    </row>
    <row r="19" spans="1:6" x14ac:dyDescent="0.35">
      <c r="A19" s="3" t="s">
        <v>16</v>
      </c>
      <c r="B19" s="21">
        <v>1935</v>
      </c>
      <c r="C19" s="19">
        <v>398</v>
      </c>
      <c r="D19" s="19">
        <v>296</v>
      </c>
      <c r="E19" s="19">
        <v>0</v>
      </c>
      <c r="F19" s="21">
        <v>2629</v>
      </c>
    </row>
    <row r="20" spans="1:6" x14ac:dyDescent="0.35">
      <c r="A20" s="3" t="s">
        <v>17</v>
      </c>
      <c r="B20" s="21">
        <v>3823</v>
      </c>
      <c r="C20" s="19">
        <v>745</v>
      </c>
      <c r="D20" s="19">
        <v>570</v>
      </c>
      <c r="E20" s="19">
        <v>0</v>
      </c>
      <c r="F20" s="21">
        <v>5138</v>
      </c>
    </row>
    <row r="21" spans="1:6" x14ac:dyDescent="0.35">
      <c r="A21" s="3" t="s">
        <v>18</v>
      </c>
      <c r="B21" s="21">
        <v>5432</v>
      </c>
      <c r="C21" s="19">
        <v>604</v>
      </c>
      <c r="D21" s="19">
        <v>870</v>
      </c>
      <c r="E21" s="19">
        <v>0</v>
      </c>
      <c r="F21" s="21">
        <v>6906</v>
      </c>
    </row>
    <row r="22" spans="1:6" x14ac:dyDescent="0.35">
      <c r="A22" s="3" t="s">
        <v>19</v>
      </c>
      <c r="B22" s="21">
        <v>2539</v>
      </c>
      <c r="C22" s="19">
        <v>8</v>
      </c>
      <c r="D22" s="19">
        <v>252</v>
      </c>
      <c r="E22" s="19">
        <v>0</v>
      </c>
      <c r="F22" s="21">
        <v>2799</v>
      </c>
    </row>
    <row r="23" spans="1:6" x14ac:dyDescent="0.35">
      <c r="A23" s="3" t="s">
        <v>47</v>
      </c>
      <c r="B23" s="38">
        <v>0</v>
      </c>
      <c r="C23" s="39">
        <v>1</v>
      </c>
      <c r="D23" s="39">
        <v>0</v>
      </c>
      <c r="E23" s="39">
        <v>0</v>
      </c>
      <c r="F23" s="38">
        <v>1</v>
      </c>
    </row>
    <row r="24" spans="1:6" ht="15" thickBot="1" x14ac:dyDescent="0.4">
      <c r="A24" s="4"/>
    </row>
    <row r="25" spans="1:6" ht="25" customHeight="1" thickBot="1" x14ac:dyDescent="0.4">
      <c r="A25" s="6" t="s">
        <v>20</v>
      </c>
      <c r="B25" s="7">
        <f>SUM(B8:B24)</f>
        <v>92015</v>
      </c>
      <c r="C25" s="7">
        <f>SUM(C8:C24)</f>
        <v>54991</v>
      </c>
      <c r="D25" s="7">
        <f>SUM(D8:D24)</f>
        <v>21506</v>
      </c>
      <c r="E25" s="7">
        <f>SUM(E8:E24)</f>
        <v>63626</v>
      </c>
      <c r="F25" s="7">
        <f>SUM(F8:F24)</f>
        <v>232138</v>
      </c>
    </row>
    <row r="26" spans="1:6" x14ac:dyDescent="0.35">
      <c r="A26" s="3" t="s">
        <v>21</v>
      </c>
      <c r="B26" s="21">
        <v>3487</v>
      </c>
      <c r="C26" s="21">
        <v>2745</v>
      </c>
      <c r="D26" s="21">
        <v>1629</v>
      </c>
      <c r="E26" s="21">
        <v>2570</v>
      </c>
      <c r="F26" s="21">
        <v>10431</v>
      </c>
    </row>
    <row r="27" spans="1:6" x14ac:dyDescent="0.35">
      <c r="A27" s="3" t="s">
        <v>22</v>
      </c>
      <c r="B27" s="21">
        <v>10931</v>
      </c>
      <c r="C27" s="21">
        <v>6906</v>
      </c>
      <c r="D27" s="21">
        <v>3844</v>
      </c>
      <c r="E27" s="21">
        <v>5420</v>
      </c>
      <c r="F27" s="21">
        <v>27101</v>
      </c>
    </row>
    <row r="28" spans="1:6" x14ac:dyDescent="0.35">
      <c r="A28" s="3" t="s">
        <v>23</v>
      </c>
      <c r="B28" s="21">
        <v>35927</v>
      </c>
      <c r="C28" s="21">
        <v>21824</v>
      </c>
      <c r="D28" s="21">
        <v>8773</v>
      </c>
      <c r="E28" s="21">
        <v>26720</v>
      </c>
      <c r="F28" s="21">
        <v>93244</v>
      </c>
    </row>
    <row r="29" spans="1:6" x14ac:dyDescent="0.35">
      <c r="A29" s="3" t="s">
        <v>24</v>
      </c>
      <c r="B29" s="21">
        <v>57047</v>
      </c>
      <c r="C29" s="21">
        <v>51964</v>
      </c>
      <c r="D29" s="21">
        <v>14324</v>
      </c>
      <c r="E29" s="21">
        <v>40242</v>
      </c>
      <c r="F29" s="21">
        <v>163577</v>
      </c>
    </row>
    <row r="30" spans="1:6" x14ac:dyDescent="0.35">
      <c r="A30" s="3" t="s">
        <v>25</v>
      </c>
      <c r="B30" s="21">
        <v>69998</v>
      </c>
      <c r="C30" s="21">
        <v>71743</v>
      </c>
      <c r="D30" s="21">
        <v>26381</v>
      </c>
      <c r="E30" s="21">
        <v>60879</v>
      </c>
      <c r="F30" s="21">
        <v>229001</v>
      </c>
    </row>
    <row r="31" spans="1:6" x14ac:dyDescent="0.35">
      <c r="A31" s="3" t="s">
        <v>26</v>
      </c>
      <c r="B31" s="21">
        <v>105362</v>
      </c>
      <c r="C31" s="21">
        <v>52817</v>
      </c>
      <c r="D31" s="21">
        <v>35997</v>
      </c>
      <c r="E31" s="21">
        <v>55502</v>
      </c>
      <c r="F31" s="21">
        <v>249678</v>
      </c>
    </row>
    <row r="32" spans="1:6" x14ac:dyDescent="0.35">
      <c r="A32" s="3" t="s">
        <v>27</v>
      </c>
      <c r="B32" s="21">
        <v>47468</v>
      </c>
      <c r="C32" s="21">
        <v>41784</v>
      </c>
      <c r="D32" s="21">
        <v>43708</v>
      </c>
      <c r="E32" s="21">
        <v>55100</v>
      </c>
      <c r="F32" s="21">
        <v>188060</v>
      </c>
    </row>
    <row r="33" spans="1:6" x14ac:dyDescent="0.35">
      <c r="A33" s="3" t="s">
        <v>28</v>
      </c>
      <c r="B33" s="21">
        <v>28039</v>
      </c>
      <c r="C33" s="21">
        <v>16455</v>
      </c>
      <c r="D33" s="21">
        <v>19182</v>
      </c>
      <c r="E33" s="21">
        <v>7559</v>
      </c>
      <c r="F33" s="21">
        <v>71235</v>
      </c>
    </row>
    <row r="34" spans="1:6" x14ac:dyDescent="0.35">
      <c r="A34" s="3" t="s">
        <v>29</v>
      </c>
      <c r="B34" s="21">
        <v>22321</v>
      </c>
      <c r="C34" s="21">
        <v>12525</v>
      </c>
      <c r="D34" s="21">
        <v>10487</v>
      </c>
      <c r="E34" s="21">
        <v>10467</v>
      </c>
      <c r="F34" s="21">
        <v>55800</v>
      </c>
    </row>
    <row r="35" spans="1:6" s="2" customFormat="1" ht="15" thickBot="1" x14ac:dyDescent="0.4">
      <c r="A35" s="3"/>
      <c r="B35" s="11"/>
      <c r="C35" s="12"/>
      <c r="D35" s="12"/>
      <c r="E35" s="12"/>
      <c r="F35" s="12"/>
    </row>
    <row r="36" spans="1:6" s="2" customFormat="1" ht="25" customHeight="1" thickBot="1" x14ac:dyDescent="0.4">
      <c r="A36" s="6" t="s">
        <v>30</v>
      </c>
      <c r="B36" s="7">
        <f>SUM(B26:B35)</f>
        <v>380580</v>
      </c>
      <c r="C36" s="7">
        <f>SUM(C26:C35)</f>
        <v>278763</v>
      </c>
      <c r="D36" s="7">
        <f>SUM(D26:D35)</f>
        <v>164325</v>
      </c>
      <c r="E36" s="7">
        <f>SUM(E26:E35)</f>
        <v>264459</v>
      </c>
      <c r="F36" s="7">
        <f>SUM(F26:F35)</f>
        <v>1088127</v>
      </c>
    </row>
    <row r="37" spans="1:6" ht="15" thickBot="1" x14ac:dyDescent="0.4">
      <c r="A37" s="36" t="s">
        <v>33</v>
      </c>
      <c r="B37" s="9">
        <v>4474</v>
      </c>
      <c r="C37" s="10">
        <v>4434</v>
      </c>
      <c r="D37" s="10">
        <v>0</v>
      </c>
      <c r="E37" s="8">
        <v>4178</v>
      </c>
      <c r="F37" s="8">
        <f>SUM(B37:E37)</f>
        <v>13086</v>
      </c>
    </row>
    <row r="38" spans="1:6" ht="30" customHeight="1" thickTop="1" thickBot="1" x14ac:dyDescent="0.4">
      <c r="A38" s="13" t="s">
        <v>31</v>
      </c>
      <c r="B38" s="16">
        <f>SUM(B37,B25,B36)</f>
        <v>477069</v>
      </c>
      <c r="C38" s="16">
        <f>SUM(C37,C25,C36)</f>
        <v>338188</v>
      </c>
      <c r="D38" s="16">
        <f>SUM(D37,D25,D36)</f>
        <v>185831</v>
      </c>
      <c r="E38" s="16">
        <f>SUM(E37,E25,E36)</f>
        <v>332263</v>
      </c>
      <c r="F38" s="16">
        <f>SUM(F37,F25,F36)</f>
        <v>1333351</v>
      </c>
    </row>
    <row r="39" spans="1:6" ht="33" customHeight="1" thickTop="1" x14ac:dyDescent="0.35">
      <c r="B39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49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47</v>
      </c>
      <c r="C9" s="19">
        <v>36</v>
      </c>
      <c r="D9" s="19">
        <v>16</v>
      </c>
      <c r="E9" s="19">
        <v>42</v>
      </c>
      <c r="F9" s="19">
        <v>141</v>
      </c>
    </row>
    <row r="10" spans="1:6" x14ac:dyDescent="0.35">
      <c r="A10" s="3" t="s">
        <v>7</v>
      </c>
      <c r="B10" s="19">
        <v>107</v>
      </c>
      <c r="C10" s="19">
        <v>60</v>
      </c>
      <c r="D10" s="19">
        <v>28</v>
      </c>
      <c r="E10" s="19">
        <v>90</v>
      </c>
      <c r="F10" s="19">
        <v>285</v>
      </c>
    </row>
    <row r="11" spans="1:6" x14ac:dyDescent="0.35">
      <c r="A11" s="3" t="s">
        <v>8</v>
      </c>
      <c r="B11" s="19">
        <v>126</v>
      </c>
      <c r="C11" s="19">
        <v>112</v>
      </c>
      <c r="D11" s="19">
        <v>36</v>
      </c>
      <c r="E11" s="19">
        <v>134</v>
      </c>
      <c r="F11" s="19">
        <v>408</v>
      </c>
    </row>
    <row r="12" spans="1:6" x14ac:dyDescent="0.35">
      <c r="A12" s="3" t="s">
        <v>9</v>
      </c>
      <c r="B12" s="21">
        <v>4041</v>
      </c>
      <c r="C12" s="21">
        <v>3137</v>
      </c>
      <c r="D12" s="19">
        <v>645</v>
      </c>
      <c r="E12" s="21">
        <v>3239</v>
      </c>
      <c r="F12" s="21">
        <v>11062</v>
      </c>
    </row>
    <row r="13" spans="1:6" x14ac:dyDescent="0.35">
      <c r="A13" s="3" t="s">
        <v>10</v>
      </c>
      <c r="B13" s="21">
        <v>8830</v>
      </c>
      <c r="C13" s="21">
        <v>6698</v>
      </c>
      <c r="D13" s="21">
        <v>1943</v>
      </c>
      <c r="E13" s="21">
        <v>9804</v>
      </c>
      <c r="F13" s="21">
        <v>27275</v>
      </c>
    </row>
    <row r="14" spans="1:6" x14ac:dyDescent="0.35">
      <c r="A14" s="3" t="s">
        <v>11</v>
      </c>
      <c r="B14" s="21">
        <v>15347</v>
      </c>
      <c r="C14" s="21">
        <v>10484</v>
      </c>
      <c r="D14" s="21">
        <v>3888</v>
      </c>
      <c r="E14" s="21">
        <v>14122</v>
      </c>
      <c r="F14" s="21">
        <v>43841</v>
      </c>
    </row>
    <row r="15" spans="1:6" x14ac:dyDescent="0.35">
      <c r="A15" s="3" t="s">
        <v>12</v>
      </c>
      <c r="B15" s="21">
        <v>27847</v>
      </c>
      <c r="C15" s="21">
        <v>18592</v>
      </c>
      <c r="D15" s="21">
        <v>6121</v>
      </c>
      <c r="E15" s="21">
        <v>20179</v>
      </c>
      <c r="F15" s="21">
        <v>72739</v>
      </c>
    </row>
    <row r="16" spans="1:6" x14ac:dyDescent="0.35">
      <c r="A16" s="3" t="s">
        <v>13</v>
      </c>
      <c r="B16" s="21">
        <v>13458</v>
      </c>
      <c r="C16" s="21">
        <v>6807</v>
      </c>
      <c r="D16" s="21">
        <v>3482</v>
      </c>
      <c r="E16" s="21">
        <v>7668</v>
      </c>
      <c r="F16" s="21">
        <v>31415</v>
      </c>
    </row>
    <row r="17" spans="1:6" x14ac:dyDescent="0.35">
      <c r="A17" s="3" t="s">
        <v>14</v>
      </c>
      <c r="B17" s="21">
        <v>7972</v>
      </c>
      <c r="C17" s="21">
        <v>7219</v>
      </c>
      <c r="D17" s="21">
        <v>3193</v>
      </c>
      <c r="E17" s="21">
        <v>8246</v>
      </c>
      <c r="F17" s="21">
        <v>26630</v>
      </c>
    </row>
    <row r="18" spans="1:6" x14ac:dyDescent="0.35">
      <c r="A18" s="3" t="s">
        <v>15</v>
      </c>
      <c r="B18" s="19">
        <v>591</v>
      </c>
      <c r="C18" s="19">
        <v>82</v>
      </c>
      <c r="D18" s="19">
        <v>109</v>
      </c>
      <c r="E18" s="19">
        <v>0</v>
      </c>
      <c r="F18" s="19">
        <v>782</v>
      </c>
    </row>
    <row r="19" spans="1:6" x14ac:dyDescent="0.35">
      <c r="A19" s="3" t="s">
        <v>16</v>
      </c>
      <c r="B19" s="21">
        <v>1935</v>
      </c>
      <c r="C19" s="19">
        <v>396</v>
      </c>
      <c r="D19" s="19">
        <v>306</v>
      </c>
      <c r="E19" s="19">
        <v>0</v>
      </c>
      <c r="F19" s="21">
        <v>2637</v>
      </c>
    </row>
    <row r="20" spans="1:6" x14ac:dyDescent="0.35">
      <c r="A20" s="3" t="s">
        <v>17</v>
      </c>
      <c r="B20" s="21">
        <v>3819</v>
      </c>
      <c r="C20" s="19">
        <v>739</v>
      </c>
      <c r="D20" s="19">
        <v>587</v>
      </c>
      <c r="E20" s="19">
        <v>0</v>
      </c>
      <c r="F20" s="21">
        <v>5145</v>
      </c>
    </row>
    <row r="21" spans="1:6" x14ac:dyDescent="0.35">
      <c r="A21" s="3" t="s">
        <v>18</v>
      </c>
      <c r="B21" s="21">
        <v>5343</v>
      </c>
      <c r="C21" s="19">
        <v>603</v>
      </c>
      <c r="D21" s="19">
        <v>820</v>
      </c>
      <c r="E21" s="19">
        <v>0</v>
      </c>
      <c r="F21" s="21">
        <v>6766</v>
      </c>
    </row>
    <row r="22" spans="1:6" x14ac:dyDescent="0.35">
      <c r="A22" s="3" t="s">
        <v>19</v>
      </c>
      <c r="B22" s="21">
        <v>2529</v>
      </c>
      <c r="C22" s="19">
        <v>8</v>
      </c>
      <c r="D22" s="19">
        <v>252</v>
      </c>
      <c r="E22" s="19">
        <v>0</v>
      </c>
      <c r="F22" s="21">
        <v>2789</v>
      </c>
    </row>
    <row r="23" spans="1:6" x14ac:dyDescent="0.35">
      <c r="A23" s="3" t="s">
        <v>47</v>
      </c>
      <c r="B23" s="38">
        <v>0</v>
      </c>
      <c r="C23" s="39">
        <v>0</v>
      </c>
      <c r="D23" s="39">
        <v>0</v>
      </c>
      <c r="E23" s="39">
        <v>0</v>
      </c>
      <c r="F23" s="38">
        <v>0</v>
      </c>
    </row>
    <row r="24" spans="1:6" ht="15" thickBot="1" x14ac:dyDescent="0.4">
      <c r="A24" s="4"/>
    </row>
    <row r="25" spans="1:6" ht="25" customHeight="1" thickBot="1" x14ac:dyDescent="0.4">
      <c r="A25" s="6" t="s">
        <v>20</v>
      </c>
      <c r="B25" s="7">
        <f>SUM(B8:B24)</f>
        <v>92006</v>
      </c>
      <c r="C25" s="7">
        <f>SUM(C8:C24)</f>
        <v>54982</v>
      </c>
      <c r="D25" s="7">
        <f>SUM(D8:D24)</f>
        <v>21429</v>
      </c>
      <c r="E25" s="7">
        <f>SUM(E8:E24)</f>
        <v>63536</v>
      </c>
      <c r="F25" s="7">
        <f>SUM(F8:F24)</f>
        <v>231953</v>
      </c>
    </row>
    <row r="26" spans="1:6" x14ac:dyDescent="0.35">
      <c r="A26" s="3" t="s">
        <v>21</v>
      </c>
      <c r="B26" s="21">
        <v>3468</v>
      </c>
      <c r="C26" s="21">
        <v>2745</v>
      </c>
      <c r="D26" s="21">
        <v>1607</v>
      </c>
      <c r="E26" s="21">
        <v>2566</v>
      </c>
      <c r="F26" s="21">
        <v>10386</v>
      </c>
    </row>
    <row r="27" spans="1:6" x14ac:dyDescent="0.35">
      <c r="A27" s="3" t="s">
        <v>22</v>
      </c>
      <c r="B27" s="21">
        <v>10823</v>
      </c>
      <c r="C27" s="21">
        <v>6866</v>
      </c>
      <c r="D27" s="21">
        <v>3911</v>
      </c>
      <c r="E27" s="21">
        <v>5419</v>
      </c>
      <c r="F27" s="21">
        <v>27019</v>
      </c>
    </row>
    <row r="28" spans="1:6" x14ac:dyDescent="0.35">
      <c r="A28" s="3" t="s">
        <v>23</v>
      </c>
      <c r="B28" s="21">
        <v>35967</v>
      </c>
      <c r="C28" s="21">
        <v>21749</v>
      </c>
      <c r="D28" s="21">
        <v>8794</v>
      </c>
      <c r="E28" s="21">
        <v>26866</v>
      </c>
      <c r="F28" s="21">
        <v>93376</v>
      </c>
    </row>
    <row r="29" spans="1:6" x14ac:dyDescent="0.35">
      <c r="A29" s="3" t="s">
        <v>24</v>
      </c>
      <c r="B29" s="21">
        <v>57120</v>
      </c>
      <c r="C29" s="21">
        <v>51593</v>
      </c>
      <c r="D29" s="21">
        <v>14344</v>
      </c>
      <c r="E29" s="21">
        <v>40532</v>
      </c>
      <c r="F29" s="21">
        <v>163589</v>
      </c>
    </row>
    <row r="30" spans="1:6" x14ac:dyDescent="0.35">
      <c r="A30" s="3" t="s">
        <v>25</v>
      </c>
      <c r="B30" s="21">
        <v>70114</v>
      </c>
      <c r="C30" s="21">
        <v>71207</v>
      </c>
      <c r="D30" s="21">
        <v>26140</v>
      </c>
      <c r="E30" s="21">
        <v>60531</v>
      </c>
      <c r="F30" s="21">
        <v>227992</v>
      </c>
    </row>
    <row r="31" spans="1:6" x14ac:dyDescent="0.35">
      <c r="A31" s="3" t="s">
        <v>26</v>
      </c>
      <c r="B31" s="21">
        <v>106492</v>
      </c>
      <c r="C31" s="21">
        <v>52723</v>
      </c>
      <c r="D31" s="21">
        <v>35981</v>
      </c>
      <c r="E31" s="21">
        <v>56325</v>
      </c>
      <c r="F31" s="21">
        <v>251521</v>
      </c>
    </row>
    <row r="32" spans="1:6" x14ac:dyDescent="0.35">
      <c r="A32" s="3" t="s">
        <v>27</v>
      </c>
      <c r="B32" s="21">
        <v>47561</v>
      </c>
      <c r="C32" s="21">
        <v>43408</v>
      </c>
      <c r="D32" s="21">
        <v>43600</v>
      </c>
      <c r="E32" s="21">
        <v>54986</v>
      </c>
      <c r="F32" s="21">
        <v>189555</v>
      </c>
    </row>
    <row r="33" spans="1:6" x14ac:dyDescent="0.35">
      <c r="A33" s="3" t="s">
        <v>28</v>
      </c>
      <c r="B33" s="21">
        <v>30218</v>
      </c>
      <c r="C33" s="21">
        <v>16108</v>
      </c>
      <c r="D33" s="21">
        <v>19933</v>
      </c>
      <c r="E33" s="21">
        <v>7901</v>
      </c>
      <c r="F33" s="21">
        <v>74160</v>
      </c>
    </row>
    <row r="34" spans="1:6" x14ac:dyDescent="0.35">
      <c r="A34" s="3" t="s">
        <v>29</v>
      </c>
      <c r="B34" s="21">
        <v>21074</v>
      </c>
      <c r="C34" s="21">
        <v>13275</v>
      </c>
      <c r="D34" s="21">
        <v>9825</v>
      </c>
      <c r="E34" s="21">
        <v>10070</v>
      </c>
      <c r="F34" s="21">
        <v>54244</v>
      </c>
    </row>
    <row r="35" spans="1:6" s="2" customFormat="1" ht="15" thickBot="1" x14ac:dyDescent="0.4">
      <c r="A35" s="3"/>
      <c r="B35" s="11">
        <v>0</v>
      </c>
      <c r="C35" s="12">
        <v>0</v>
      </c>
      <c r="D35" s="12">
        <v>1</v>
      </c>
      <c r="E35" s="12">
        <v>0</v>
      </c>
      <c r="F35" s="12">
        <v>1</v>
      </c>
    </row>
    <row r="36" spans="1:6" s="2" customFormat="1" ht="25" customHeight="1" thickBot="1" x14ac:dyDescent="0.4">
      <c r="A36" s="6" t="s">
        <v>30</v>
      </c>
      <c r="B36" s="7">
        <f>SUM(B26:B35)</f>
        <v>382837</v>
      </c>
      <c r="C36" s="7">
        <f>SUM(C26:C35)</f>
        <v>279674</v>
      </c>
      <c r="D36" s="7">
        <f>SUM(D26:D35)</f>
        <v>164136</v>
      </c>
      <c r="E36" s="7">
        <f>SUM(E26:E35)</f>
        <v>265196</v>
      </c>
      <c r="F36" s="7">
        <f>SUM(F26:F35)</f>
        <v>1091843</v>
      </c>
    </row>
    <row r="37" spans="1:6" ht="15" thickBot="1" x14ac:dyDescent="0.4">
      <c r="A37" s="36" t="s">
        <v>33</v>
      </c>
      <c r="B37" s="9">
        <v>4468</v>
      </c>
      <c r="C37" s="10">
        <v>4420</v>
      </c>
      <c r="D37" s="10">
        <v>0</v>
      </c>
      <c r="E37" s="8">
        <v>4164</v>
      </c>
      <c r="F37" s="8">
        <f>SUM(B37:E37)</f>
        <v>13052</v>
      </c>
    </row>
    <row r="38" spans="1:6" ht="30" customHeight="1" thickTop="1" thickBot="1" x14ac:dyDescent="0.4">
      <c r="A38" s="13" t="s">
        <v>31</v>
      </c>
      <c r="B38" s="16">
        <f>SUM(B37,B25,B36)</f>
        <v>479311</v>
      </c>
      <c r="C38" s="16">
        <f>SUM(C37,C25,C36)</f>
        <v>339076</v>
      </c>
      <c r="D38" s="16">
        <f>SUM(D37,D25,D36)</f>
        <v>185565</v>
      </c>
      <c r="E38" s="16">
        <f>SUM(E37,E25,E36)</f>
        <v>332896</v>
      </c>
      <c r="F38" s="16">
        <f>SUM(F37,F25,F36)</f>
        <v>1336848</v>
      </c>
    </row>
    <row r="39" spans="1:6" ht="33" customHeight="1" thickTop="1" x14ac:dyDescent="0.35">
      <c r="B39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48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48</v>
      </c>
      <c r="C9" s="19">
        <v>36</v>
      </c>
      <c r="D9" s="19">
        <v>16</v>
      </c>
      <c r="E9" s="19">
        <v>42</v>
      </c>
      <c r="F9" s="19">
        <v>142</v>
      </c>
    </row>
    <row r="10" spans="1:6" x14ac:dyDescent="0.35">
      <c r="A10" s="3" t="s">
        <v>7</v>
      </c>
      <c r="B10" s="19">
        <v>108</v>
      </c>
      <c r="C10" s="19">
        <v>60</v>
      </c>
      <c r="D10" s="19">
        <v>28</v>
      </c>
      <c r="E10" s="19">
        <v>90</v>
      </c>
      <c r="F10" s="19">
        <v>286</v>
      </c>
    </row>
    <row r="11" spans="1:6" x14ac:dyDescent="0.35">
      <c r="A11" s="3" t="s">
        <v>8</v>
      </c>
      <c r="B11" s="19">
        <v>128</v>
      </c>
      <c r="C11" s="19">
        <v>112</v>
      </c>
      <c r="D11" s="19">
        <v>36</v>
      </c>
      <c r="E11" s="19">
        <v>134</v>
      </c>
      <c r="F11" s="19">
        <v>410</v>
      </c>
    </row>
    <row r="12" spans="1:6" x14ac:dyDescent="0.35">
      <c r="A12" s="3" t="s">
        <v>9</v>
      </c>
      <c r="B12" s="21">
        <v>4049</v>
      </c>
      <c r="C12" s="21">
        <v>3146</v>
      </c>
      <c r="D12" s="19">
        <v>645</v>
      </c>
      <c r="E12" s="21">
        <v>3266</v>
      </c>
      <c r="F12" s="21">
        <v>11106</v>
      </c>
    </row>
    <row r="13" spans="1:6" x14ac:dyDescent="0.35">
      <c r="A13" s="3" t="s">
        <v>10</v>
      </c>
      <c r="B13" s="21">
        <v>8898</v>
      </c>
      <c r="C13" s="21">
        <v>6681</v>
      </c>
      <c r="D13" s="21">
        <v>1945</v>
      </c>
      <c r="E13" s="21">
        <v>9835</v>
      </c>
      <c r="F13" s="21">
        <v>27359</v>
      </c>
    </row>
    <row r="14" spans="1:6" x14ac:dyDescent="0.35">
      <c r="A14" s="3" t="s">
        <v>11</v>
      </c>
      <c r="B14" s="21">
        <v>15334</v>
      </c>
      <c r="C14" s="21">
        <v>10472</v>
      </c>
      <c r="D14" s="21">
        <v>3866</v>
      </c>
      <c r="E14" s="21">
        <v>14165</v>
      </c>
      <c r="F14" s="21">
        <v>43837</v>
      </c>
    </row>
    <row r="15" spans="1:6" x14ac:dyDescent="0.35">
      <c r="A15" s="3" t="s">
        <v>12</v>
      </c>
      <c r="B15" s="21">
        <v>27683</v>
      </c>
      <c r="C15" s="21">
        <v>18461</v>
      </c>
      <c r="D15" s="21">
        <v>6188</v>
      </c>
      <c r="E15" s="21">
        <v>19968</v>
      </c>
      <c r="F15" s="21">
        <v>72300</v>
      </c>
    </row>
    <row r="16" spans="1:6" x14ac:dyDescent="0.35">
      <c r="A16" s="3" t="s">
        <v>13</v>
      </c>
      <c r="B16" s="21">
        <v>13553</v>
      </c>
      <c r="C16" s="21">
        <v>6765</v>
      </c>
      <c r="D16" s="21">
        <v>3395</v>
      </c>
      <c r="E16" s="21">
        <v>7648</v>
      </c>
      <c r="F16" s="21">
        <v>31361</v>
      </c>
    </row>
    <row r="17" spans="1:6" x14ac:dyDescent="0.35">
      <c r="A17" s="3" t="s">
        <v>14</v>
      </c>
      <c r="B17" s="21">
        <v>7860</v>
      </c>
      <c r="C17" s="21">
        <v>7243</v>
      </c>
      <c r="D17" s="21">
        <v>3185</v>
      </c>
      <c r="E17" s="21">
        <v>8406</v>
      </c>
      <c r="F17" s="21">
        <v>26694</v>
      </c>
    </row>
    <row r="18" spans="1:6" x14ac:dyDescent="0.35">
      <c r="A18" s="3" t="s">
        <v>15</v>
      </c>
      <c r="B18" s="19">
        <v>586</v>
      </c>
      <c r="C18" s="19">
        <v>83</v>
      </c>
      <c r="D18" s="19">
        <v>109</v>
      </c>
      <c r="E18" s="19">
        <v>0</v>
      </c>
      <c r="F18" s="19">
        <v>778</v>
      </c>
    </row>
    <row r="19" spans="1:6" x14ac:dyDescent="0.35">
      <c r="A19" s="3" t="s">
        <v>16</v>
      </c>
      <c r="B19" s="21">
        <v>1918</v>
      </c>
      <c r="C19" s="19">
        <v>398</v>
      </c>
      <c r="D19" s="19">
        <v>309</v>
      </c>
      <c r="E19" s="19">
        <v>0</v>
      </c>
      <c r="F19" s="21">
        <v>2625</v>
      </c>
    </row>
    <row r="20" spans="1:6" x14ac:dyDescent="0.35">
      <c r="A20" s="3" t="s">
        <v>17</v>
      </c>
      <c r="B20" s="21">
        <v>3804</v>
      </c>
      <c r="C20" s="19">
        <v>753</v>
      </c>
      <c r="D20" s="19">
        <v>584</v>
      </c>
      <c r="E20" s="19">
        <v>0</v>
      </c>
      <c r="F20" s="21">
        <v>5141</v>
      </c>
    </row>
    <row r="21" spans="1:6" x14ac:dyDescent="0.35">
      <c r="A21" s="3" t="s">
        <v>18</v>
      </c>
      <c r="B21" s="21">
        <v>5356</v>
      </c>
      <c r="C21" s="19">
        <v>600</v>
      </c>
      <c r="D21" s="19">
        <v>820</v>
      </c>
      <c r="E21" s="19">
        <v>0</v>
      </c>
      <c r="F21" s="21">
        <v>6776</v>
      </c>
    </row>
    <row r="22" spans="1:6" x14ac:dyDescent="0.35">
      <c r="A22" s="3" t="s">
        <v>19</v>
      </c>
      <c r="B22" s="21">
        <v>2539</v>
      </c>
      <c r="C22" s="19">
        <v>8</v>
      </c>
      <c r="D22" s="19">
        <v>501</v>
      </c>
      <c r="E22" s="19">
        <v>0</v>
      </c>
      <c r="F22" s="21">
        <v>3048</v>
      </c>
    </row>
    <row r="23" spans="1:6" x14ac:dyDescent="0.35">
      <c r="A23" s="3" t="s">
        <v>47</v>
      </c>
      <c r="B23" s="38">
        <v>0</v>
      </c>
      <c r="C23" s="39">
        <v>0</v>
      </c>
      <c r="D23" s="39">
        <v>0</v>
      </c>
      <c r="E23" s="39">
        <v>0</v>
      </c>
      <c r="F23" s="38">
        <v>0</v>
      </c>
    </row>
    <row r="24" spans="1:6" ht="15" thickBot="1" x14ac:dyDescent="0.4">
      <c r="A24" s="4"/>
      <c r="F24" s="22"/>
    </row>
    <row r="25" spans="1:6" ht="25" customHeight="1" thickBot="1" x14ac:dyDescent="0.4">
      <c r="A25" s="6" t="s">
        <v>20</v>
      </c>
      <c r="B25" s="7">
        <f>SUM(B8:B24)</f>
        <v>91878</v>
      </c>
      <c r="C25" s="7">
        <f>SUM(C8:C24)</f>
        <v>54827</v>
      </c>
      <c r="D25" s="7">
        <f>SUM(D8:D24)</f>
        <v>21630</v>
      </c>
      <c r="E25" s="7">
        <f>SUM(E8:E24)</f>
        <v>63566</v>
      </c>
      <c r="F25" s="7">
        <f>SUM(F8:F24)</f>
        <v>231901</v>
      </c>
    </row>
    <row r="26" spans="1:6" x14ac:dyDescent="0.35">
      <c r="A26" s="3" t="s">
        <v>21</v>
      </c>
      <c r="B26" s="21">
        <v>3441</v>
      </c>
      <c r="C26" s="21">
        <v>2747</v>
      </c>
      <c r="D26" s="21">
        <v>1589</v>
      </c>
      <c r="E26" s="21">
        <v>2572</v>
      </c>
      <c r="F26" s="21">
        <v>10349</v>
      </c>
    </row>
    <row r="27" spans="1:6" x14ac:dyDescent="0.35">
      <c r="A27" s="3" t="s">
        <v>22</v>
      </c>
      <c r="B27" s="21">
        <v>10814</v>
      </c>
      <c r="C27" s="21">
        <v>6871</v>
      </c>
      <c r="D27" s="21">
        <v>3963</v>
      </c>
      <c r="E27" s="21">
        <v>5422</v>
      </c>
      <c r="F27" s="21">
        <v>27070</v>
      </c>
    </row>
    <row r="28" spans="1:6" x14ac:dyDescent="0.35">
      <c r="A28" s="3" t="s">
        <v>23</v>
      </c>
      <c r="B28" s="21">
        <v>35789</v>
      </c>
      <c r="C28" s="21">
        <v>21707</v>
      </c>
      <c r="D28" s="21">
        <v>8655</v>
      </c>
      <c r="E28" s="21">
        <v>27007</v>
      </c>
      <c r="F28" s="21">
        <v>93158</v>
      </c>
    </row>
    <row r="29" spans="1:6" x14ac:dyDescent="0.35">
      <c r="A29" s="3" t="s">
        <v>24</v>
      </c>
      <c r="B29" s="21">
        <v>57324</v>
      </c>
      <c r="C29" s="21">
        <v>51301</v>
      </c>
      <c r="D29" s="21">
        <v>14174</v>
      </c>
      <c r="E29" s="21">
        <v>40807</v>
      </c>
      <c r="F29" s="21">
        <v>163606</v>
      </c>
    </row>
    <row r="30" spans="1:6" x14ac:dyDescent="0.35">
      <c r="A30" s="3" t="s">
        <v>25</v>
      </c>
      <c r="B30" s="21">
        <v>69528</v>
      </c>
      <c r="C30" s="21">
        <v>70847</v>
      </c>
      <c r="D30" s="21">
        <v>26047</v>
      </c>
      <c r="E30" s="21">
        <v>60887</v>
      </c>
      <c r="F30" s="21">
        <v>227309</v>
      </c>
    </row>
    <row r="31" spans="1:6" x14ac:dyDescent="0.35">
      <c r="A31" s="3" t="s">
        <v>26</v>
      </c>
      <c r="B31" s="21">
        <v>108010</v>
      </c>
      <c r="C31" s="21">
        <v>53121</v>
      </c>
      <c r="D31" s="21">
        <v>35730</v>
      </c>
      <c r="E31" s="21">
        <v>55981</v>
      </c>
      <c r="F31" s="21">
        <v>252842</v>
      </c>
    </row>
    <row r="32" spans="1:6" x14ac:dyDescent="0.35">
      <c r="A32" s="3" t="s">
        <v>27</v>
      </c>
      <c r="B32" s="21">
        <v>47069</v>
      </c>
      <c r="C32" s="21">
        <v>44548</v>
      </c>
      <c r="D32" s="21">
        <v>43835</v>
      </c>
      <c r="E32" s="21">
        <v>54970</v>
      </c>
      <c r="F32" s="21">
        <v>190422</v>
      </c>
    </row>
    <row r="33" spans="1:6" x14ac:dyDescent="0.35">
      <c r="A33" s="3" t="s">
        <v>28</v>
      </c>
      <c r="B33" s="21">
        <v>32760</v>
      </c>
      <c r="C33" s="21">
        <v>15521</v>
      </c>
      <c r="D33" s="21">
        <v>20451</v>
      </c>
      <c r="E33" s="21">
        <v>8036</v>
      </c>
      <c r="F33" s="21">
        <v>76768</v>
      </c>
    </row>
    <row r="34" spans="1:6" x14ac:dyDescent="0.35">
      <c r="A34" s="3" t="s">
        <v>29</v>
      </c>
      <c r="B34" s="21">
        <v>19793</v>
      </c>
      <c r="C34" s="21">
        <v>13526</v>
      </c>
      <c r="D34" s="21">
        <v>8977</v>
      </c>
      <c r="E34" s="21">
        <v>9707</v>
      </c>
      <c r="F34" s="21">
        <v>52003</v>
      </c>
    </row>
    <row r="35" spans="1:6" s="2" customFormat="1" ht="15" thickBot="1" x14ac:dyDescent="0.4">
      <c r="A35" s="3"/>
      <c r="B35" s="11"/>
      <c r="C35" s="12"/>
      <c r="D35" s="12"/>
      <c r="E35" s="12"/>
      <c r="F35" s="12"/>
    </row>
    <row r="36" spans="1:6" s="2" customFormat="1" ht="25" customHeight="1" thickBot="1" x14ac:dyDescent="0.4">
      <c r="A36" s="6" t="s">
        <v>30</v>
      </c>
      <c r="B36" s="7">
        <f>SUM(B26:B35)</f>
        <v>384528</v>
      </c>
      <c r="C36" s="7">
        <f>SUM(C26:C35)</f>
        <v>280189</v>
      </c>
      <c r="D36" s="7">
        <f>SUM(D26:D35)</f>
        <v>163421</v>
      </c>
      <c r="E36" s="7">
        <f>SUM(E26:E35)</f>
        <v>265389</v>
      </c>
      <c r="F36" s="7">
        <f>SUM(F26:F35)</f>
        <v>1093527</v>
      </c>
    </row>
    <row r="37" spans="1:6" ht="15" thickBot="1" x14ac:dyDescent="0.4">
      <c r="A37" s="36" t="s">
        <v>33</v>
      </c>
      <c r="B37" s="9">
        <v>4447</v>
      </c>
      <c r="C37" s="10">
        <v>4413</v>
      </c>
      <c r="D37" s="10">
        <v>0</v>
      </c>
      <c r="E37" s="8">
        <v>4151</v>
      </c>
      <c r="F37" s="8">
        <f>SUM(B37:E37)</f>
        <v>13011</v>
      </c>
    </row>
    <row r="38" spans="1:6" ht="30" customHeight="1" thickTop="1" thickBot="1" x14ac:dyDescent="0.4">
      <c r="A38" s="13" t="s">
        <v>31</v>
      </c>
      <c r="B38" s="16">
        <f>SUM(B37,B25,B36)</f>
        <v>480853</v>
      </c>
      <c r="C38" s="16">
        <f>SUM(C37,C25,C36)</f>
        <v>339429</v>
      </c>
      <c r="D38" s="16">
        <f>SUM(D37,D25,D36)</f>
        <v>185051</v>
      </c>
      <c r="E38" s="16">
        <f>SUM(E37,E25,E36)</f>
        <v>333106</v>
      </c>
      <c r="F38" s="16">
        <f>SUM(F37,F25,F36)</f>
        <v>1338439</v>
      </c>
    </row>
    <row r="39" spans="1:6" ht="33" customHeight="1" thickTop="1" x14ac:dyDescent="0.35">
      <c r="B39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46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46</v>
      </c>
      <c r="C9" s="19">
        <v>36</v>
      </c>
      <c r="D9" s="19">
        <v>16</v>
      </c>
      <c r="E9" s="19">
        <v>42</v>
      </c>
      <c r="F9" s="19">
        <v>140</v>
      </c>
    </row>
    <row r="10" spans="1:6" x14ac:dyDescent="0.35">
      <c r="A10" s="3" t="s">
        <v>7</v>
      </c>
      <c r="B10" s="19">
        <v>107</v>
      </c>
      <c r="C10" s="19">
        <v>60</v>
      </c>
      <c r="D10" s="19">
        <v>28</v>
      </c>
      <c r="E10" s="19">
        <v>91</v>
      </c>
      <c r="F10" s="19">
        <v>286</v>
      </c>
    </row>
    <row r="11" spans="1:6" x14ac:dyDescent="0.35">
      <c r="A11" s="3" t="s">
        <v>8</v>
      </c>
      <c r="B11" s="19">
        <v>128</v>
      </c>
      <c r="C11" s="19">
        <v>113</v>
      </c>
      <c r="D11" s="19">
        <v>36</v>
      </c>
      <c r="E11" s="19">
        <v>133</v>
      </c>
      <c r="F11" s="19">
        <v>410</v>
      </c>
    </row>
    <row r="12" spans="1:6" x14ac:dyDescent="0.35">
      <c r="A12" s="3" t="s">
        <v>9</v>
      </c>
      <c r="B12" s="21">
        <v>4065</v>
      </c>
      <c r="C12" s="21">
        <v>3165</v>
      </c>
      <c r="D12" s="19">
        <v>645</v>
      </c>
      <c r="E12" s="21">
        <v>3288</v>
      </c>
      <c r="F12" s="21">
        <v>11163</v>
      </c>
    </row>
    <row r="13" spans="1:6" x14ac:dyDescent="0.35">
      <c r="A13" s="3" t="s">
        <v>10</v>
      </c>
      <c r="B13" s="21">
        <v>8952</v>
      </c>
      <c r="C13" s="21">
        <v>6680</v>
      </c>
      <c r="D13" s="21">
        <v>1945</v>
      </c>
      <c r="E13" s="21">
        <v>9862</v>
      </c>
      <c r="F13" s="21">
        <v>27439</v>
      </c>
    </row>
    <row r="14" spans="1:6" x14ac:dyDescent="0.35">
      <c r="A14" s="3" t="s">
        <v>11</v>
      </c>
      <c r="B14" s="21">
        <v>15514</v>
      </c>
      <c r="C14" s="21">
        <v>10458</v>
      </c>
      <c r="D14" s="21">
        <v>3845</v>
      </c>
      <c r="E14" s="21">
        <v>14201</v>
      </c>
      <c r="F14" s="21">
        <v>44018</v>
      </c>
    </row>
    <row r="15" spans="1:6" x14ac:dyDescent="0.35">
      <c r="A15" s="3" t="s">
        <v>12</v>
      </c>
      <c r="B15" s="21">
        <v>27280</v>
      </c>
      <c r="C15" s="21">
        <v>18385</v>
      </c>
      <c r="D15" s="21">
        <v>6177</v>
      </c>
      <c r="E15" s="21">
        <v>20023</v>
      </c>
      <c r="F15" s="21">
        <v>71865</v>
      </c>
    </row>
    <row r="16" spans="1:6" x14ac:dyDescent="0.35">
      <c r="A16" s="3" t="s">
        <v>13</v>
      </c>
      <c r="B16" s="21">
        <v>14379</v>
      </c>
      <c r="C16" s="21">
        <v>6810</v>
      </c>
      <c r="D16" s="21">
        <v>3482</v>
      </c>
      <c r="E16" s="21">
        <v>7668</v>
      </c>
      <c r="F16" s="21">
        <v>32339</v>
      </c>
    </row>
    <row r="17" spans="1:6" x14ac:dyDescent="0.35">
      <c r="A17" s="3" t="s">
        <v>14</v>
      </c>
      <c r="B17" s="21">
        <v>7029</v>
      </c>
      <c r="C17" s="21">
        <v>7290</v>
      </c>
      <c r="D17" s="21">
        <v>3324</v>
      </c>
      <c r="E17" s="21">
        <v>8373</v>
      </c>
      <c r="F17" s="21">
        <v>26016</v>
      </c>
    </row>
    <row r="18" spans="1:6" x14ac:dyDescent="0.35">
      <c r="A18" s="3" t="s">
        <v>15</v>
      </c>
      <c r="B18" s="19">
        <v>584</v>
      </c>
      <c r="C18" s="19">
        <v>83</v>
      </c>
      <c r="D18" s="19">
        <v>109</v>
      </c>
      <c r="E18" s="19">
        <v>0</v>
      </c>
      <c r="F18" s="19">
        <v>776</v>
      </c>
    </row>
    <row r="19" spans="1:6" x14ac:dyDescent="0.35">
      <c r="A19" s="3" t="s">
        <v>16</v>
      </c>
      <c r="B19" s="21">
        <v>1921</v>
      </c>
      <c r="C19" s="19">
        <v>396</v>
      </c>
      <c r="D19" s="19">
        <v>309</v>
      </c>
      <c r="E19" s="19">
        <v>0</v>
      </c>
      <c r="F19" s="21">
        <v>2626</v>
      </c>
    </row>
    <row r="20" spans="1:6" x14ac:dyDescent="0.35">
      <c r="A20" s="3" t="s">
        <v>17</v>
      </c>
      <c r="B20" s="21">
        <v>3800</v>
      </c>
      <c r="C20" s="19">
        <v>760</v>
      </c>
      <c r="D20" s="19">
        <v>591</v>
      </c>
      <c r="E20" s="19">
        <v>0</v>
      </c>
      <c r="F20" s="21">
        <v>5151</v>
      </c>
    </row>
    <row r="21" spans="1:6" x14ac:dyDescent="0.35">
      <c r="A21" s="3" t="s">
        <v>18</v>
      </c>
      <c r="B21" s="21">
        <v>5378</v>
      </c>
      <c r="C21" s="19">
        <v>604</v>
      </c>
      <c r="D21" s="19">
        <v>804</v>
      </c>
      <c r="E21" s="19">
        <v>0</v>
      </c>
      <c r="F21" s="21">
        <v>6786</v>
      </c>
    </row>
    <row r="22" spans="1:6" x14ac:dyDescent="0.35">
      <c r="A22" s="3" t="s">
        <v>19</v>
      </c>
      <c r="B22" s="21">
        <v>2574</v>
      </c>
      <c r="C22" s="19">
        <v>8</v>
      </c>
      <c r="D22" s="19">
        <v>502</v>
      </c>
      <c r="E22" s="19">
        <v>0</v>
      </c>
      <c r="F22" s="21">
        <v>3084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91771</v>
      </c>
      <c r="C24" s="7">
        <f>SUM(C8:C23)</f>
        <v>54857</v>
      </c>
      <c r="D24" s="7">
        <f>SUM(D8:D23)</f>
        <v>21816</v>
      </c>
      <c r="E24" s="7">
        <f>SUM(E8:E23)</f>
        <v>63693</v>
      </c>
      <c r="F24" s="7">
        <f>SUM(F8:F23)</f>
        <v>232137</v>
      </c>
    </row>
    <row r="25" spans="1:6" x14ac:dyDescent="0.35">
      <c r="A25" s="3" t="s">
        <v>21</v>
      </c>
      <c r="B25" s="21">
        <v>3461</v>
      </c>
      <c r="C25" s="21">
        <v>2757</v>
      </c>
      <c r="D25" s="21">
        <v>1591</v>
      </c>
      <c r="E25" s="21">
        <v>2577</v>
      </c>
      <c r="F25" s="21">
        <v>10386</v>
      </c>
    </row>
    <row r="26" spans="1:6" x14ac:dyDescent="0.35">
      <c r="A26" s="3" t="s">
        <v>22</v>
      </c>
      <c r="B26" s="21">
        <v>10899</v>
      </c>
      <c r="C26" s="21">
        <v>6880</v>
      </c>
      <c r="D26" s="21">
        <v>3968</v>
      </c>
      <c r="E26" s="21">
        <v>5424</v>
      </c>
      <c r="F26" s="21">
        <v>27171</v>
      </c>
    </row>
    <row r="27" spans="1:6" x14ac:dyDescent="0.35">
      <c r="A27" s="3" t="s">
        <v>23</v>
      </c>
      <c r="B27" s="21">
        <v>35558</v>
      </c>
      <c r="C27" s="21">
        <v>21707</v>
      </c>
      <c r="D27" s="21">
        <v>8703</v>
      </c>
      <c r="E27" s="21">
        <v>27045</v>
      </c>
      <c r="F27" s="21">
        <v>93013</v>
      </c>
    </row>
    <row r="28" spans="1:6" x14ac:dyDescent="0.35">
      <c r="A28" s="3" t="s">
        <v>24</v>
      </c>
      <c r="B28" s="21">
        <v>57446</v>
      </c>
      <c r="C28" s="21">
        <v>51995</v>
      </c>
      <c r="D28" s="21">
        <v>14103</v>
      </c>
      <c r="E28" s="21">
        <v>41164</v>
      </c>
      <c r="F28" s="21">
        <v>164708</v>
      </c>
    </row>
    <row r="29" spans="1:6" x14ac:dyDescent="0.35">
      <c r="A29" s="3" t="s">
        <v>25</v>
      </c>
      <c r="B29" s="21">
        <v>69945</v>
      </c>
      <c r="C29" s="21">
        <v>70974</v>
      </c>
      <c r="D29" s="21">
        <v>25595</v>
      </c>
      <c r="E29" s="21">
        <v>60939</v>
      </c>
      <c r="F29" s="21">
        <v>227453</v>
      </c>
    </row>
    <row r="30" spans="1:6" x14ac:dyDescent="0.35">
      <c r="A30" s="3" t="s">
        <v>26</v>
      </c>
      <c r="B30" s="21">
        <v>108438</v>
      </c>
      <c r="C30" s="21">
        <v>53356</v>
      </c>
      <c r="D30" s="21">
        <v>36196</v>
      </c>
      <c r="E30" s="21">
        <v>55870</v>
      </c>
      <c r="F30" s="21">
        <v>253860</v>
      </c>
    </row>
    <row r="31" spans="1:6" x14ac:dyDescent="0.35">
      <c r="A31" s="3" t="s">
        <v>27</v>
      </c>
      <c r="B31" s="21">
        <v>46320</v>
      </c>
      <c r="C31" s="21">
        <v>43778</v>
      </c>
      <c r="D31" s="21">
        <v>44878</v>
      </c>
      <c r="E31" s="21">
        <v>55107</v>
      </c>
      <c r="F31" s="21">
        <v>190083</v>
      </c>
    </row>
    <row r="32" spans="1:6" x14ac:dyDescent="0.35">
      <c r="A32" s="3" t="s">
        <v>28</v>
      </c>
      <c r="B32" s="21">
        <v>33956</v>
      </c>
      <c r="C32" s="21">
        <v>15264</v>
      </c>
      <c r="D32" s="21">
        <v>19779</v>
      </c>
      <c r="E32" s="21">
        <v>7938</v>
      </c>
      <c r="F32" s="21">
        <v>76937</v>
      </c>
    </row>
    <row r="33" spans="1:6" x14ac:dyDescent="0.35">
      <c r="A33" s="3" t="s">
        <v>29</v>
      </c>
      <c r="B33" s="21">
        <v>16999</v>
      </c>
      <c r="C33" s="21">
        <v>13071</v>
      </c>
      <c r="D33" s="21">
        <v>8065</v>
      </c>
      <c r="E33" s="21">
        <v>9272</v>
      </c>
      <c r="F33" s="21">
        <v>47407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383022</v>
      </c>
      <c r="C35" s="7">
        <f>SUM(C25:C34)</f>
        <v>279782</v>
      </c>
      <c r="D35" s="7">
        <f>SUM(D25:D34)</f>
        <v>162878</v>
      </c>
      <c r="E35" s="7">
        <f>SUM(E25:E34)</f>
        <v>265336</v>
      </c>
      <c r="F35" s="7">
        <f>SUM(F25:F34)</f>
        <v>1091018</v>
      </c>
    </row>
    <row r="36" spans="1:6" ht="15" thickBot="1" x14ac:dyDescent="0.4">
      <c r="A36" s="36" t="s">
        <v>33</v>
      </c>
      <c r="B36" s="9">
        <v>4440</v>
      </c>
      <c r="C36" s="10">
        <v>4409</v>
      </c>
      <c r="D36" s="10">
        <v>0</v>
      </c>
      <c r="E36" s="8">
        <v>4138</v>
      </c>
      <c r="F36" s="8">
        <f>SUM(B36:E36)</f>
        <v>12987</v>
      </c>
    </row>
    <row r="37" spans="1:6" ht="30" customHeight="1" thickTop="1" thickBot="1" x14ac:dyDescent="0.4">
      <c r="A37" s="13" t="s">
        <v>31</v>
      </c>
      <c r="B37" s="16">
        <f>SUM(B36,B24,B35)</f>
        <v>479233</v>
      </c>
      <c r="C37" s="16">
        <f>SUM(C36,C24,C35)</f>
        <v>339048</v>
      </c>
      <c r="D37" s="16">
        <f>SUM(D36,D24,D35)</f>
        <v>184694</v>
      </c>
      <c r="E37" s="16">
        <f>SUM(E36,E24,E35)</f>
        <v>333167</v>
      </c>
      <c r="F37" s="16">
        <f>SUM(F36,F24,F35)</f>
        <v>1336142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45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9</v>
      </c>
      <c r="D8" s="19">
        <v>3</v>
      </c>
      <c r="E8" s="19">
        <v>12</v>
      </c>
      <c r="F8" s="19">
        <v>38</v>
      </c>
    </row>
    <row r="9" spans="1:6" x14ac:dyDescent="0.35">
      <c r="A9" s="3" t="s">
        <v>6</v>
      </c>
      <c r="B9" s="19">
        <v>46</v>
      </c>
      <c r="C9" s="19">
        <v>36</v>
      </c>
      <c r="D9" s="19">
        <v>16</v>
      </c>
      <c r="E9" s="19">
        <v>43</v>
      </c>
      <c r="F9" s="19">
        <v>141</v>
      </c>
    </row>
    <row r="10" spans="1:6" x14ac:dyDescent="0.35">
      <c r="A10" s="3" t="s">
        <v>7</v>
      </c>
      <c r="B10" s="19">
        <v>109</v>
      </c>
      <c r="C10" s="19">
        <v>61</v>
      </c>
      <c r="D10" s="19">
        <v>28</v>
      </c>
      <c r="E10" s="19">
        <v>90</v>
      </c>
      <c r="F10" s="19">
        <v>288</v>
      </c>
    </row>
    <row r="11" spans="1:6" x14ac:dyDescent="0.35">
      <c r="A11" s="3" t="s">
        <v>8</v>
      </c>
      <c r="B11" s="19">
        <v>127</v>
      </c>
      <c r="C11" s="19">
        <v>111</v>
      </c>
      <c r="D11" s="19">
        <v>37</v>
      </c>
      <c r="E11" s="19">
        <v>136</v>
      </c>
      <c r="F11" s="19">
        <v>411</v>
      </c>
    </row>
    <row r="12" spans="1:6" x14ac:dyDescent="0.35">
      <c r="A12" s="3" t="s">
        <v>9</v>
      </c>
      <c r="B12" s="21">
        <v>4091</v>
      </c>
      <c r="C12" s="21">
        <v>3168</v>
      </c>
      <c r="D12" s="19">
        <v>647</v>
      </c>
      <c r="E12" s="21">
        <v>3327</v>
      </c>
      <c r="F12" s="21">
        <v>11233</v>
      </c>
    </row>
    <row r="13" spans="1:6" x14ac:dyDescent="0.35">
      <c r="A13" s="3" t="s">
        <v>10</v>
      </c>
      <c r="B13" s="21">
        <v>9014</v>
      </c>
      <c r="C13" s="21">
        <v>6665</v>
      </c>
      <c r="D13" s="21">
        <v>1941</v>
      </c>
      <c r="E13" s="21">
        <v>9905</v>
      </c>
      <c r="F13" s="21">
        <v>27525</v>
      </c>
    </row>
    <row r="14" spans="1:6" x14ac:dyDescent="0.35">
      <c r="A14" s="3" t="s">
        <v>11</v>
      </c>
      <c r="B14" s="21">
        <v>15684</v>
      </c>
      <c r="C14" s="21">
        <v>10438</v>
      </c>
      <c r="D14" s="21">
        <v>3997</v>
      </c>
      <c r="E14" s="21">
        <v>14245</v>
      </c>
      <c r="F14" s="21">
        <v>44364</v>
      </c>
    </row>
    <row r="15" spans="1:6" x14ac:dyDescent="0.35">
      <c r="A15" s="3" t="s">
        <v>12</v>
      </c>
      <c r="B15" s="21">
        <v>26925</v>
      </c>
      <c r="C15" s="21">
        <v>18455</v>
      </c>
      <c r="D15" s="21">
        <v>6080</v>
      </c>
      <c r="E15" s="21">
        <v>19826</v>
      </c>
      <c r="F15" s="21">
        <v>71286</v>
      </c>
    </row>
    <row r="16" spans="1:6" x14ac:dyDescent="0.35">
      <c r="A16" s="3" t="s">
        <v>13</v>
      </c>
      <c r="B16" s="21">
        <v>14478</v>
      </c>
      <c r="C16" s="21">
        <v>6740</v>
      </c>
      <c r="D16" s="21">
        <v>3389</v>
      </c>
      <c r="E16" s="21">
        <v>7662</v>
      </c>
      <c r="F16" s="21">
        <v>32269</v>
      </c>
    </row>
    <row r="17" spans="1:6" x14ac:dyDescent="0.35">
      <c r="A17" s="3" t="s">
        <v>14</v>
      </c>
      <c r="B17" s="21">
        <v>6768</v>
      </c>
      <c r="C17" s="21">
        <v>7250</v>
      </c>
      <c r="D17" s="21">
        <v>3312</v>
      </c>
      <c r="E17" s="21">
        <v>9375</v>
      </c>
      <c r="F17" s="21">
        <v>26705</v>
      </c>
    </row>
    <row r="18" spans="1:6" x14ac:dyDescent="0.35">
      <c r="A18" s="3" t="s">
        <v>15</v>
      </c>
      <c r="B18" s="19">
        <v>581</v>
      </c>
      <c r="C18" s="19">
        <v>83</v>
      </c>
      <c r="D18" s="19">
        <v>108</v>
      </c>
      <c r="E18" s="19">
        <v>0</v>
      </c>
      <c r="F18" s="19">
        <v>772</v>
      </c>
    </row>
    <row r="19" spans="1:6" x14ac:dyDescent="0.35">
      <c r="A19" s="3" t="s">
        <v>16</v>
      </c>
      <c r="B19" s="21">
        <v>1931</v>
      </c>
      <c r="C19" s="19">
        <v>397</v>
      </c>
      <c r="D19" s="19">
        <v>309</v>
      </c>
      <c r="E19" s="19">
        <v>0</v>
      </c>
      <c r="F19" s="21">
        <v>2637</v>
      </c>
    </row>
    <row r="20" spans="1:6" x14ac:dyDescent="0.35">
      <c r="A20" s="3" t="s">
        <v>17</v>
      </c>
      <c r="B20" s="21">
        <v>3790</v>
      </c>
      <c r="C20" s="19">
        <v>773</v>
      </c>
      <c r="D20" s="19">
        <v>590</v>
      </c>
      <c r="E20" s="19">
        <v>0</v>
      </c>
      <c r="F20" s="21">
        <v>5153</v>
      </c>
    </row>
    <row r="21" spans="1:6" x14ac:dyDescent="0.35">
      <c r="A21" s="3" t="s">
        <v>18</v>
      </c>
      <c r="B21" s="21">
        <v>5444</v>
      </c>
      <c r="C21" s="19">
        <v>607</v>
      </c>
      <c r="D21" s="19">
        <v>801</v>
      </c>
      <c r="E21" s="19">
        <v>0</v>
      </c>
      <c r="F21" s="21">
        <v>6852</v>
      </c>
    </row>
    <row r="22" spans="1:6" x14ac:dyDescent="0.35">
      <c r="A22" s="3" t="s">
        <v>19</v>
      </c>
      <c r="B22" s="21">
        <v>2601</v>
      </c>
      <c r="C22" s="19">
        <v>8</v>
      </c>
      <c r="D22" s="19">
        <v>504</v>
      </c>
      <c r="E22" s="19">
        <v>0</v>
      </c>
      <c r="F22" s="21">
        <v>3113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91603</v>
      </c>
      <c r="C24" s="7">
        <f>SUM(C8:C23)</f>
        <v>54801</v>
      </c>
      <c r="D24" s="7">
        <f>SUM(D8:D23)</f>
        <v>21762</v>
      </c>
      <c r="E24" s="7">
        <f>SUM(E8:E23)</f>
        <v>64621</v>
      </c>
      <c r="F24" s="7">
        <f>SUM(F8:F23)</f>
        <v>232787</v>
      </c>
    </row>
    <row r="25" spans="1:6" x14ac:dyDescent="0.35">
      <c r="A25" s="3" t="s">
        <v>21</v>
      </c>
      <c r="B25" s="21">
        <v>3451</v>
      </c>
      <c r="C25" s="21">
        <v>2759</v>
      </c>
      <c r="D25" s="21">
        <v>1587</v>
      </c>
      <c r="E25" s="21">
        <v>2592</v>
      </c>
      <c r="F25" s="21">
        <v>10389</v>
      </c>
    </row>
    <row r="26" spans="1:6" x14ac:dyDescent="0.35">
      <c r="A26" s="3" t="s">
        <v>22</v>
      </c>
      <c r="B26" s="21">
        <v>10924</v>
      </c>
      <c r="C26" s="21">
        <v>6869</v>
      </c>
      <c r="D26" s="21">
        <v>3971</v>
      </c>
      <c r="E26" s="21">
        <v>5403</v>
      </c>
      <c r="F26" s="21">
        <v>27167</v>
      </c>
    </row>
    <row r="27" spans="1:6" x14ac:dyDescent="0.35">
      <c r="A27" s="3" t="s">
        <v>23</v>
      </c>
      <c r="B27" s="21">
        <v>35689</v>
      </c>
      <c r="C27" s="21">
        <v>21644</v>
      </c>
      <c r="D27" s="21">
        <v>8668</v>
      </c>
      <c r="E27" s="21">
        <v>27006</v>
      </c>
      <c r="F27" s="21">
        <v>93007</v>
      </c>
    </row>
    <row r="28" spans="1:6" x14ac:dyDescent="0.35">
      <c r="A28" s="3" t="s">
        <v>24</v>
      </c>
      <c r="B28" s="21">
        <v>57551</v>
      </c>
      <c r="C28" s="21">
        <v>51897</v>
      </c>
      <c r="D28" s="21">
        <v>14210</v>
      </c>
      <c r="E28" s="21">
        <v>41573</v>
      </c>
      <c r="F28" s="21">
        <v>165231</v>
      </c>
    </row>
    <row r="29" spans="1:6" x14ac:dyDescent="0.35">
      <c r="A29" s="3" t="s">
        <v>25</v>
      </c>
      <c r="B29" s="21">
        <v>70000</v>
      </c>
      <c r="C29" s="21">
        <v>70646</v>
      </c>
      <c r="D29" s="21">
        <v>25324</v>
      </c>
      <c r="E29" s="21">
        <v>61264</v>
      </c>
      <c r="F29" s="21">
        <v>227234</v>
      </c>
    </row>
    <row r="30" spans="1:6" x14ac:dyDescent="0.35">
      <c r="A30" s="3" t="s">
        <v>26</v>
      </c>
      <c r="B30" s="21">
        <v>108139</v>
      </c>
      <c r="C30" s="21">
        <v>53875</v>
      </c>
      <c r="D30" s="21">
        <v>36385</v>
      </c>
      <c r="E30" s="21">
        <v>55414</v>
      </c>
      <c r="F30" s="21">
        <v>253813</v>
      </c>
    </row>
    <row r="31" spans="1:6" x14ac:dyDescent="0.35">
      <c r="A31" s="3" t="s">
        <v>27</v>
      </c>
      <c r="B31" s="21">
        <v>45698</v>
      </c>
      <c r="C31" s="21">
        <v>43764</v>
      </c>
      <c r="D31" s="21">
        <v>45561</v>
      </c>
      <c r="E31" s="21">
        <v>54837</v>
      </c>
      <c r="F31" s="21">
        <v>189860</v>
      </c>
    </row>
    <row r="32" spans="1:6" x14ac:dyDescent="0.35">
      <c r="A32" s="3" t="s">
        <v>28</v>
      </c>
      <c r="B32" s="21">
        <v>33137</v>
      </c>
      <c r="C32" s="21">
        <v>15297</v>
      </c>
      <c r="D32" s="21">
        <v>19153</v>
      </c>
      <c r="E32" s="21">
        <v>8013</v>
      </c>
      <c r="F32" s="21">
        <v>75600</v>
      </c>
    </row>
    <row r="33" spans="1:6" x14ac:dyDescent="0.35">
      <c r="A33" s="3" t="s">
        <v>29</v>
      </c>
      <c r="B33" s="21">
        <v>14653</v>
      </c>
      <c r="C33" s="21">
        <v>11547</v>
      </c>
      <c r="D33" s="21">
        <v>6748</v>
      </c>
      <c r="E33" s="21">
        <v>8631</v>
      </c>
      <c r="F33" s="21">
        <v>41579</v>
      </c>
    </row>
    <row r="34" spans="1:6" s="2" customFormat="1" ht="15" thickBot="1" x14ac:dyDescent="0.4">
      <c r="A34" s="3" t="s">
        <v>39</v>
      </c>
      <c r="B34" s="11">
        <v>0</v>
      </c>
      <c r="C34" s="12">
        <v>1</v>
      </c>
      <c r="D34" s="12">
        <v>0</v>
      </c>
      <c r="E34" s="12">
        <v>0</v>
      </c>
      <c r="F34" s="12">
        <v>1</v>
      </c>
    </row>
    <row r="35" spans="1:6" s="2" customFormat="1" ht="25" customHeight="1" thickBot="1" x14ac:dyDescent="0.4">
      <c r="A35" s="6" t="s">
        <v>30</v>
      </c>
      <c r="B35" s="7">
        <f>SUM(B25:B34)</f>
        <v>379242</v>
      </c>
      <c r="C35" s="7">
        <f>SUM(C25:C34)</f>
        <v>278299</v>
      </c>
      <c r="D35" s="7">
        <f>SUM(D25:D34)</f>
        <v>161607</v>
      </c>
      <c r="E35" s="7">
        <f>SUM(E25:E34)</f>
        <v>264733</v>
      </c>
      <c r="F35" s="7">
        <f>SUM(F25:F34)</f>
        <v>1083881</v>
      </c>
    </row>
    <row r="36" spans="1:6" ht="15" thickBot="1" x14ac:dyDescent="0.4">
      <c r="A36" s="36" t="s">
        <v>33</v>
      </c>
      <c r="B36" s="9">
        <v>4440</v>
      </c>
      <c r="C36" s="10">
        <v>4410</v>
      </c>
      <c r="D36" s="10">
        <v>0</v>
      </c>
      <c r="E36" s="8">
        <v>3183</v>
      </c>
      <c r="F36" s="8">
        <f>SUM(B36:E36)</f>
        <v>12033</v>
      </c>
    </row>
    <row r="37" spans="1:6" ht="30" customHeight="1" thickTop="1" thickBot="1" x14ac:dyDescent="0.4">
      <c r="A37" s="13" t="s">
        <v>31</v>
      </c>
      <c r="B37" s="16">
        <f>SUM(B36,B24,B35)</f>
        <v>475285</v>
      </c>
      <c r="C37" s="16">
        <f>SUM(C36,C24,C35)</f>
        <v>337510</v>
      </c>
      <c r="D37" s="16">
        <f>SUM(D36,D24,D35)</f>
        <v>183369</v>
      </c>
      <c r="E37" s="16">
        <f>SUM(E36,E24,E35)</f>
        <v>332537</v>
      </c>
      <c r="F37" s="16">
        <f>SUM(F36,F24,F35)</f>
        <v>1328701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44</v>
      </c>
      <c r="B2" s="24"/>
      <c r="C2" s="24"/>
      <c r="D2" s="24"/>
      <c r="E2" s="24"/>
      <c r="F2" s="24"/>
    </row>
    <row r="3" spans="1:6" ht="18.5" x14ac:dyDescent="0.45">
      <c r="A3" s="37" t="s">
        <v>43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42</v>
      </c>
      <c r="C6" s="32"/>
      <c r="D6" s="32"/>
      <c r="E6" s="33"/>
      <c r="F6" s="25" t="s">
        <v>41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10</v>
      </c>
      <c r="D8" s="19">
        <v>3</v>
      </c>
      <c r="E8" s="19">
        <v>12</v>
      </c>
      <c r="F8" s="19">
        <v>39</v>
      </c>
    </row>
    <row r="9" spans="1:6" x14ac:dyDescent="0.35">
      <c r="A9" s="3" t="s">
        <v>6</v>
      </c>
      <c r="B9" s="19">
        <v>47</v>
      </c>
      <c r="C9" s="19">
        <v>36</v>
      </c>
      <c r="D9" s="19">
        <v>16</v>
      </c>
      <c r="E9" s="19">
        <v>43</v>
      </c>
      <c r="F9" s="19">
        <v>142</v>
      </c>
    </row>
    <row r="10" spans="1:6" x14ac:dyDescent="0.35">
      <c r="A10" s="3" t="s">
        <v>7</v>
      </c>
      <c r="B10" s="19">
        <v>109</v>
      </c>
      <c r="C10" s="19">
        <v>59</v>
      </c>
      <c r="D10" s="19">
        <v>30</v>
      </c>
      <c r="E10" s="19">
        <v>104</v>
      </c>
      <c r="F10" s="19">
        <v>302</v>
      </c>
    </row>
    <row r="11" spans="1:6" x14ac:dyDescent="0.35">
      <c r="A11" s="3" t="s">
        <v>8</v>
      </c>
      <c r="B11" s="19">
        <v>129</v>
      </c>
      <c r="C11" s="19">
        <v>110</v>
      </c>
      <c r="D11" s="19">
        <v>38</v>
      </c>
      <c r="E11" s="19">
        <v>124</v>
      </c>
      <c r="F11" s="19">
        <v>401</v>
      </c>
    </row>
    <row r="12" spans="1:6" x14ac:dyDescent="0.35">
      <c r="A12" s="3" t="s">
        <v>9</v>
      </c>
      <c r="B12" s="21">
        <v>4084</v>
      </c>
      <c r="C12" s="21">
        <v>3141</v>
      </c>
      <c r="D12" s="19">
        <v>646</v>
      </c>
      <c r="E12" s="21">
        <v>3387</v>
      </c>
      <c r="F12" s="21">
        <v>11258</v>
      </c>
    </row>
    <row r="13" spans="1:6" x14ac:dyDescent="0.35">
      <c r="A13" s="3" t="s">
        <v>10</v>
      </c>
      <c r="B13" s="21">
        <v>9040</v>
      </c>
      <c r="C13" s="21">
        <v>6635</v>
      </c>
      <c r="D13" s="21">
        <v>1945</v>
      </c>
      <c r="E13" s="21">
        <v>10003</v>
      </c>
      <c r="F13" s="21">
        <v>27623</v>
      </c>
    </row>
    <row r="14" spans="1:6" x14ac:dyDescent="0.35">
      <c r="A14" s="3" t="s">
        <v>11</v>
      </c>
      <c r="B14" s="21">
        <v>16022</v>
      </c>
      <c r="C14" s="21">
        <v>10414</v>
      </c>
      <c r="D14" s="21">
        <v>4007</v>
      </c>
      <c r="E14" s="21">
        <v>14419</v>
      </c>
      <c r="F14" s="21">
        <v>44862</v>
      </c>
    </row>
    <row r="15" spans="1:6" x14ac:dyDescent="0.35">
      <c r="A15" s="3" t="s">
        <v>12</v>
      </c>
      <c r="B15" s="21">
        <v>28168</v>
      </c>
      <c r="C15" s="21">
        <v>18445</v>
      </c>
      <c r="D15" s="21">
        <v>6070</v>
      </c>
      <c r="E15" s="21">
        <v>19661</v>
      </c>
      <c r="F15" s="21">
        <v>72344</v>
      </c>
    </row>
    <row r="16" spans="1:6" x14ac:dyDescent="0.35">
      <c r="A16" s="3" t="s">
        <v>13</v>
      </c>
      <c r="B16" s="21">
        <v>12545</v>
      </c>
      <c r="C16" s="21">
        <v>6815</v>
      </c>
      <c r="D16" s="21">
        <v>3913</v>
      </c>
      <c r="E16" s="21">
        <v>8982</v>
      </c>
      <c r="F16" s="21">
        <v>32255</v>
      </c>
    </row>
    <row r="17" spans="1:6" x14ac:dyDescent="0.35">
      <c r="A17" s="3" t="s">
        <v>14</v>
      </c>
      <c r="B17" s="21">
        <v>8482</v>
      </c>
      <c r="C17" s="21">
        <v>8429</v>
      </c>
      <c r="D17" s="21">
        <v>3026</v>
      </c>
      <c r="E17" s="21">
        <v>8117</v>
      </c>
      <c r="F17" s="21">
        <v>28054</v>
      </c>
    </row>
    <row r="18" spans="1:6" x14ac:dyDescent="0.35">
      <c r="A18" s="3" t="s">
        <v>15</v>
      </c>
      <c r="B18" s="19">
        <v>581</v>
      </c>
      <c r="C18" s="19">
        <v>83</v>
      </c>
      <c r="D18" s="19">
        <v>109</v>
      </c>
      <c r="E18" s="19">
        <v>0</v>
      </c>
      <c r="F18" s="19">
        <v>773</v>
      </c>
    </row>
    <row r="19" spans="1:6" x14ac:dyDescent="0.35">
      <c r="A19" s="3" t="s">
        <v>16</v>
      </c>
      <c r="B19" s="21">
        <v>1947</v>
      </c>
      <c r="C19" s="19">
        <v>401</v>
      </c>
      <c r="D19" s="19">
        <v>309</v>
      </c>
      <c r="E19" s="19">
        <v>0</v>
      </c>
      <c r="F19" s="21">
        <v>2657</v>
      </c>
    </row>
    <row r="20" spans="1:6" x14ac:dyDescent="0.35">
      <c r="A20" s="3" t="s">
        <v>17</v>
      </c>
      <c r="B20" s="21">
        <v>3765</v>
      </c>
      <c r="C20" s="19">
        <v>779</v>
      </c>
      <c r="D20" s="19">
        <v>584</v>
      </c>
      <c r="E20" s="19">
        <v>0</v>
      </c>
      <c r="F20" s="21">
        <v>5128</v>
      </c>
    </row>
    <row r="21" spans="1:6" x14ac:dyDescent="0.35">
      <c r="A21" s="3" t="s">
        <v>18</v>
      </c>
      <c r="B21" s="21">
        <v>5495</v>
      </c>
      <c r="C21" s="19">
        <v>612</v>
      </c>
      <c r="D21" s="19">
        <v>799</v>
      </c>
      <c r="E21" s="19">
        <v>0</v>
      </c>
      <c r="F21" s="21">
        <v>6906</v>
      </c>
    </row>
    <row r="22" spans="1:6" x14ac:dyDescent="0.35">
      <c r="A22" s="3" t="s">
        <v>19</v>
      </c>
      <c r="B22" s="21">
        <v>2483</v>
      </c>
      <c r="C22" s="19">
        <v>8</v>
      </c>
      <c r="D22" s="19">
        <v>504</v>
      </c>
      <c r="E22" s="19">
        <v>0</v>
      </c>
      <c r="F22" s="21">
        <v>2995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92911</v>
      </c>
      <c r="C24" s="7">
        <f>SUM(C8:C23)</f>
        <v>55977</v>
      </c>
      <c r="D24" s="7">
        <f>SUM(D8:D23)</f>
        <v>21999</v>
      </c>
      <c r="E24" s="7">
        <f>SUM(E8:E23)</f>
        <v>64852</v>
      </c>
      <c r="F24" s="7">
        <f>SUM(F8:F23)</f>
        <v>235739</v>
      </c>
    </row>
    <row r="25" spans="1:6" x14ac:dyDescent="0.35">
      <c r="A25" s="3" t="s">
        <v>21</v>
      </c>
      <c r="B25" s="21">
        <v>3471</v>
      </c>
      <c r="C25" s="21">
        <v>2762</v>
      </c>
      <c r="D25" s="21">
        <v>1591</v>
      </c>
      <c r="E25" s="21">
        <v>2606</v>
      </c>
      <c r="F25" s="21">
        <v>10430</v>
      </c>
    </row>
    <row r="26" spans="1:6" x14ac:dyDescent="0.35">
      <c r="A26" s="3" t="s">
        <v>22</v>
      </c>
      <c r="B26" s="21">
        <v>11011</v>
      </c>
      <c r="C26" s="21">
        <v>6866</v>
      </c>
      <c r="D26" s="21">
        <v>3974</v>
      </c>
      <c r="E26" s="21">
        <v>5413</v>
      </c>
      <c r="F26" s="21">
        <v>27264</v>
      </c>
    </row>
    <row r="27" spans="1:6" x14ac:dyDescent="0.35">
      <c r="A27" s="3" t="s">
        <v>23</v>
      </c>
      <c r="B27" s="21">
        <v>37021</v>
      </c>
      <c r="C27" s="21">
        <v>21624</v>
      </c>
      <c r="D27" s="21">
        <v>8588</v>
      </c>
      <c r="E27" s="21">
        <v>27001</v>
      </c>
      <c r="F27" s="21">
        <v>94234</v>
      </c>
    </row>
    <row r="28" spans="1:6" x14ac:dyDescent="0.35">
      <c r="A28" s="3" t="s">
        <v>24</v>
      </c>
      <c r="B28" s="21">
        <v>59322</v>
      </c>
      <c r="C28" s="21">
        <v>51626</v>
      </c>
      <c r="D28" s="21">
        <v>14304</v>
      </c>
      <c r="E28" s="21">
        <v>41767</v>
      </c>
      <c r="F28" s="21">
        <v>167019</v>
      </c>
    </row>
    <row r="29" spans="1:6" x14ac:dyDescent="0.35">
      <c r="A29" s="3" t="s">
        <v>25</v>
      </c>
      <c r="B29" s="21">
        <v>67400</v>
      </c>
      <c r="C29" s="21">
        <v>70304</v>
      </c>
      <c r="D29" s="21">
        <v>25259</v>
      </c>
      <c r="E29" s="21">
        <v>61683</v>
      </c>
      <c r="F29" s="21">
        <v>224646</v>
      </c>
    </row>
    <row r="30" spans="1:6" x14ac:dyDescent="0.35">
      <c r="A30" s="3" t="s">
        <v>26</v>
      </c>
      <c r="B30" s="21">
        <v>107838</v>
      </c>
      <c r="C30" s="21">
        <v>54274</v>
      </c>
      <c r="D30" s="21">
        <v>36293</v>
      </c>
      <c r="E30" s="21">
        <v>55473</v>
      </c>
      <c r="F30" s="21">
        <v>253878</v>
      </c>
    </row>
    <row r="31" spans="1:6" x14ac:dyDescent="0.35">
      <c r="A31" s="3" t="s">
        <v>27</v>
      </c>
      <c r="B31" s="21">
        <v>45760</v>
      </c>
      <c r="C31" s="21">
        <v>44446</v>
      </c>
      <c r="D31" s="21">
        <v>45951</v>
      </c>
      <c r="E31" s="21">
        <v>54511</v>
      </c>
      <c r="F31" s="21">
        <v>190668</v>
      </c>
    </row>
    <row r="32" spans="1:6" x14ac:dyDescent="0.35">
      <c r="A32" s="3" t="s">
        <v>28</v>
      </c>
      <c r="B32" s="21">
        <v>31352</v>
      </c>
      <c r="C32" s="21">
        <v>15552</v>
      </c>
      <c r="D32" s="21">
        <v>18506</v>
      </c>
      <c r="E32" s="21">
        <v>7749</v>
      </c>
      <c r="F32" s="21">
        <v>73159</v>
      </c>
    </row>
    <row r="33" spans="1:6" x14ac:dyDescent="0.35">
      <c r="A33" s="3" t="s">
        <v>29</v>
      </c>
      <c r="B33" s="21">
        <v>14111</v>
      </c>
      <c r="C33" s="21">
        <v>11142</v>
      </c>
      <c r="D33" s="21">
        <v>6489</v>
      </c>
      <c r="E33" s="21">
        <v>7902</v>
      </c>
      <c r="F33" s="21">
        <v>39644</v>
      </c>
    </row>
    <row r="34" spans="1:6" s="2" customFormat="1" ht="15" thickBot="1" x14ac:dyDescent="0.4">
      <c r="A34" s="3" t="s">
        <v>39</v>
      </c>
      <c r="B34" s="11">
        <v>0</v>
      </c>
      <c r="C34" s="12">
        <v>1</v>
      </c>
      <c r="D34" s="12">
        <v>0</v>
      </c>
      <c r="E34" s="12">
        <v>0</v>
      </c>
      <c r="F34" s="12">
        <v>1</v>
      </c>
    </row>
    <row r="35" spans="1:6" s="2" customFormat="1" ht="25" customHeight="1" thickBot="1" x14ac:dyDescent="0.4">
      <c r="A35" s="6" t="s">
        <v>30</v>
      </c>
      <c r="B35" s="7">
        <f>SUM(B25:B34)</f>
        <v>377286</v>
      </c>
      <c r="C35" s="7">
        <f>SUM(C25:C34)</f>
        <v>278597</v>
      </c>
      <c r="D35" s="7">
        <f>SUM(D25:D34)</f>
        <v>160955</v>
      </c>
      <c r="E35" s="7">
        <f>SUM(E25:E34)</f>
        <v>264105</v>
      </c>
      <c r="F35" s="7">
        <f>SUM(F25:F34)</f>
        <v>1080943</v>
      </c>
    </row>
    <row r="36" spans="1:6" ht="15" thickBot="1" x14ac:dyDescent="0.4">
      <c r="A36" s="36" t="s">
        <v>33</v>
      </c>
      <c r="B36" s="9">
        <v>3346</v>
      </c>
      <c r="C36" s="10">
        <v>4393</v>
      </c>
      <c r="D36" s="10">
        <v>0</v>
      </c>
      <c r="E36" s="8">
        <v>3179</v>
      </c>
      <c r="F36" s="8">
        <f>SUM(B36:E36)</f>
        <v>10918</v>
      </c>
    </row>
    <row r="37" spans="1:6" ht="30" customHeight="1" thickTop="1" thickBot="1" x14ac:dyDescent="0.4">
      <c r="A37" s="13" t="s">
        <v>31</v>
      </c>
      <c r="B37" s="16">
        <f>SUM(B36,B24,B35)</f>
        <v>473543</v>
      </c>
      <c r="C37" s="16">
        <f>SUM(C36,C24,C35)</f>
        <v>338967</v>
      </c>
      <c r="D37" s="16">
        <f>SUM(D36,D24,D35)</f>
        <v>182954</v>
      </c>
      <c r="E37" s="16">
        <f>SUM(E36,E24,E35)</f>
        <v>332136</v>
      </c>
      <c r="F37" s="16">
        <f>SUM(F36,F24,F35)</f>
        <v>1327600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2" sqref="A2:F2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34</v>
      </c>
      <c r="B2" s="24"/>
      <c r="C2" s="24"/>
      <c r="D2" s="24"/>
      <c r="E2" s="24"/>
      <c r="F2" s="24"/>
    </row>
    <row r="3" spans="1:6" ht="18.5" x14ac:dyDescent="0.45">
      <c r="A3" s="37" t="s">
        <v>40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35</v>
      </c>
      <c r="C6" s="32"/>
      <c r="D6" s="32"/>
      <c r="E6" s="33"/>
      <c r="F6" s="25" t="s">
        <v>36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14</v>
      </c>
      <c r="C8" s="19">
        <v>10</v>
      </c>
      <c r="D8" s="19">
        <v>3</v>
      </c>
      <c r="E8" s="19">
        <v>12</v>
      </c>
      <c r="F8" s="19">
        <v>39</v>
      </c>
    </row>
    <row r="9" spans="1:6" x14ac:dyDescent="0.35">
      <c r="A9" s="3" t="s">
        <v>6</v>
      </c>
      <c r="B9" s="19">
        <v>47</v>
      </c>
      <c r="C9" s="19">
        <v>37</v>
      </c>
      <c r="D9" s="19">
        <v>16</v>
      </c>
      <c r="E9" s="19">
        <v>45</v>
      </c>
      <c r="F9" s="19">
        <v>145</v>
      </c>
    </row>
    <row r="10" spans="1:6" x14ac:dyDescent="0.35">
      <c r="A10" s="3" t="s">
        <v>7</v>
      </c>
      <c r="B10" s="19">
        <v>112</v>
      </c>
      <c r="C10" s="19">
        <v>60</v>
      </c>
      <c r="D10" s="19">
        <v>30</v>
      </c>
      <c r="E10" s="19">
        <v>100</v>
      </c>
      <c r="F10" s="19">
        <v>302</v>
      </c>
    </row>
    <row r="11" spans="1:6" x14ac:dyDescent="0.35">
      <c r="A11" s="3" t="s">
        <v>8</v>
      </c>
      <c r="B11" s="19">
        <v>131</v>
      </c>
      <c r="C11" s="19">
        <v>107</v>
      </c>
      <c r="D11" s="19">
        <v>39</v>
      </c>
      <c r="E11" s="19">
        <v>127</v>
      </c>
      <c r="F11" s="19">
        <v>404</v>
      </c>
    </row>
    <row r="12" spans="1:6" x14ac:dyDescent="0.35">
      <c r="A12" s="3" t="s">
        <v>9</v>
      </c>
      <c r="B12" s="21">
        <v>4092</v>
      </c>
      <c r="C12" s="21">
        <v>3133</v>
      </c>
      <c r="D12" s="19">
        <v>656</v>
      </c>
      <c r="E12" s="21">
        <v>3401</v>
      </c>
      <c r="F12" s="21">
        <v>11282</v>
      </c>
    </row>
    <row r="13" spans="1:6" x14ac:dyDescent="0.35">
      <c r="A13" s="3" t="s">
        <v>10</v>
      </c>
      <c r="B13" s="21">
        <v>9075</v>
      </c>
      <c r="C13" s="21">
        <v>6603</v>
      </c>
      <c r="D13" s="21">
        <v>1950</v>
      </c>
      <c r="E13" s="21">
        <v>9980</v>
      </c>
      <c r="F13" s="21">
        <v>27608</v>
      </c>
    </row>
    <row r="14" spans="1:6" x14ac:dyDescent="0.35">
      <c r="A14" s="3" t="s">
        <v>11</v>
      </c>
      <c r="B14" s="21">
        <v>15943</v>
      </c>
      <c r="C14" s="21">
        <v>10387</v>
      </c>
      <c r="D14" s="21">
        <v>4004</v>
      </c>
      <c r="E14" s="21">
        <v>14413</v>
      </c>
      <c r="F14" s="21">
        <v>44747</v>
      </c>
    </row>
    <row r="15" spans="1:6" x14ac:dyDescent="0.35">
      <c r="A15" s="3" t="s">
        <v>12</v>
      </c>
      <c r="B15" s="21">
        <v>27873</v>
      </c>
      <c r="C15" s="21">
        <v>19984</v>
      </c>
      <c r="D15" s="21">
        <v>6078</v>
      </c>
      <c r="E15" s="21">
        <v>20719</v>
      </c>
      <c r="F15" s="21">
        <v>74654</v>
      </c>
    </row>
    <row r="16" spans="1:6" x14ac:dyDescent="0.35">
      <c r="A16" s="3" t="s">
        <v>13</v>
      </c>
      <c r="B16" s="21">
        <v>12465</v>
      </c>
      <c r="C16" s="21">
        <v>6911</v>
      </c>
      <c r="D16" s="21">
        <v>3907</v>
      </c>
      <c r="E16" s="21">
        <v>8058</v>
      </c>
      <c r="F16" s="21">
        <v>31341</v>
      </c>
    </row>
    <row r="17" spans="1:6" x14ac:dyDescent="0.35">
      <c r="A17" s="3" t="s">
        <v>14</v>
      </c>
      <c r="B17" s="21">
        <v>8987</v>
      </c>
      <c r="C17" s="21">
        <v>7105</v>
      </c>
      <c r="D17" s="21">
        <v>3016</v>
      </c>
      <c r="E17" s="21">
        <v>7903</v>
      </c>
      <c r="F17" s="21">
        <v>27011</v>
      </c>
    </row>
    <row r="18" spans="1:6" x14ac:dyDescent="0.35">
      <c r="A18" s="3" t="s">
        <v>15</v>
      </c>
      <c r="B18" s="19">
        <v>578</v>
      </c>
      <c r="C18" s="19">
        <v>84</v>
      </c>
      <c r="D18" s="19">
        <v>110</v>
      </c>
      <c r="E18" s="19">
        <v>0</v>
      </c>
      <c r="F18" s="19">
        <v>772</v>
      </c>
    </row>
    <row r="19" spans="1:6" x14ac:dyDescent="0.35">
      <c r="A19" s="3" t="s">
        <v>16</v>
      </c>
      <c r="B19" s="21">
        <v>1963</v>
      </c>
      <c r="C19" s="19">
        <v>401</v>
      </c>
      <c r="D19" s="19">
        <v>301</v>
      </c>
      <c r="E19" s="19">
        <v>0</v>
      </c>
      <c r="F19" s="21">
        <v>2665</v>
      </c>
    </row>
    <row r="20" spans="1:6" x14ac:dyDescent="0.35">
      <c r="A20" s="3" t="s">
        <v>17</v>
      </c>
      <c r="B20" s="21">
        <v>3728</v>
      </c>
      <c r="C20" s="19">
        <v>793</v>
      </c>
      <c r="D20" s="19">
        <v>535</v>
      </c>
      <c r="E20" s="19">
        <v>0</v>
      </c>
      <c r="F20" s="21">
        <v>5056</v>
      </c>
    </row>
    <row r="21" spans="1:6" x14ac:dyDescent="0.35">
      <c r="A21" s="3" t="s">
        <v>18</v>
      </c>
      <c r="B21" s="21">
        <v>5482</v>
      </c>
      <c r="C21" s="19">
        <v>625</v>
      </c>
      <c r="D21" s="19">
        <v>796</v>
      </c>
      <c r="E21" s="19">
        <v>0</v>
      </c>
      <c r="F21" s="21">
        <v>6903</v>
      </c>
    </row>
    <row r="22" spans="1:6" x14ac:dyDescent="0.35">
      <c r="A22" s="3" t="s">
        <v>19</v>
      </c>
      <c r="B22" s="21">
        <v>2500</v>
      </c>
      <c r="C22" s="19">
        <v>8</v>
      </c>
      <c r="D22" s="19">
        <v>500</v>
      </c>
      <c r="E22" s="19">
        <v>0</v>
      </c>
      <c r="F22" s="21">
        <v>3008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92990</v>
      </c>
      <c r="C24" s="7">
        <f>SUM(C8:C23)</f>
        <v>56248</v>
      </c>
      <c r="D24" s="7">
        <f>SUM(D8:D23)</f>
        <v>21941</v>
      </c>
      <c r="E24" s="7">
        <f>SUM(E8:E23)</f>
        <v>64758</v>
      </c>
      <c r="F24" s="7">
        <f>SUM(F8:F23)</f>
        <v>235937</v>
      </c>
    </row>
    <row r="25" spans="1:6" x14ac:dyDescent="0.35">
      <c r="A25" s="3" t="s">
        <v>21</v>
      </c>
      <c r="B25" s="21">
        <v>3466</v>
      </c>
      <c r="C25" s="21">
        <v>2798</v>
      </c>
      <c r="D25" s="21">
        <v>1587</v>
      </c>
      <c r="E25" s="21">
        <v>2617</v>
      </c>
      <c r="F25" s="21">
        <v>10468</v>
      </c>
    </row>
    <row r="26" spans="1:6" x14ac:dyDescent="0.35">
      <c r="A26" s="3" t="s">
        <v>22</v>
      </c>
      <c r="B26" s="21">
        <v>11275</v>
      </c>
      <c r="C26" s="21">
        <v>7341</v>
      </c>
      <c r="D26" s="21">
        <v>3957</v>
      </c>
      <c r="E26" s="21">
        <v>5397</v>
      </c>
      <c r="F26" s="21">
        <v>27970</v>
      </c>
    </row>
    <row r="27" spans="1:6" x14ac:dyDescent="0.35">
      <c r="A27" s="3" t="s">
        <v>23</v>
      </c>
      <c r="B27" s="21">
        <v>37468</v>
      </c>
      <c r="C27" s="21">
        <v>21024</v>
      </c>
      <c r="D27" s="21">
        <v>8538</v>
      </c>
      <c r="E27" s="21">
        <v>26947</v>
      </c>
      <c r="F27" s="21">
        <v>93977</v>
      </c>
    </row>
    <row r="28" spans="1:6" x14ac:dyDescent="0.35">
      <c r="A28" s="3" t="s">
        <v>24</v>
      </c>
      <c r="B28" s="21">
        <v>58977</v>
      </c>
      <c r="C28" s="21">
        <v>53235</v>
      </c>
      <c r="D28" s="21">
        <v>14586</v>
      </c>
      <c r="E28" s="21">
        <v>41932</v>
      </c>
      <c r="F28" s="21">
        <v>168730</v>
      </c>
    </row>
    <row r="29" spans="1:6" x14ac:dyDescent="0.35">
      <c r="A29" s="3" t="s">
        <v>25</v>
      </c>
      <c r="B29" s="21">
        <v>67517</v>
      </c>
      <c r="C29" s="21">
        <v>71732</v>
      </c>
      <c r="D29" s="21">
        <v>24531</v>
      </c>
      <c r="E29" s="21">
        <v>61994</v>
      </c>
      <c r="F29" s="21">
        <v>225774</v>
      </c>
    </row>
    <row r="30" spans="1:6" x14ac:dyDescent="0.35">
      <c r="A30" s="3" t="s">
        <v>26</v>
      </c>
      <c r="B30" s="21">
        <v>108872</v>
      </c>
      <c r="C30" s="21">
        <v>53163</v>
      </c>
      <c r="D30" s="21">
        <v>36412</v>
      </c>
      <c r="E30" s="21">
        <v>55530</v>
      </c>
      <c r="F30" s="21">
        <v>253977</v>
      </c>
    </row>
    <row r="31" spans="1:6" x14ac:dyDescent="0.35">
      <c r="A31" s="3" t="s">
        <v>27</v>
      </c>
      <c r="B31" s="21">
        <v>46511</v>
      </c>
      <c r="C31" s="21">
        <v>43261</v>
      </c>
      <c r="D31" s="21">
        <v>45401</v>
      </c>
      <c r="E31" s="21">
        <v>54825</v>
      </c>
      <c r="F31" s="21">
        <v>189998</v>
      </c>
    </row>
    <row r="32" spans="1:6" x14ac:dyDescent="0.35">
      <c r="A32" s="3" t="s">
        <v>28</v>
      </c>
      <c r="B32" s="21">
        <v>29025</v>
      </c>
      <c r="C32" s="21">
        <v>15350</v>
      </c>
      <c r="D32" s="21">
        <v>18578</v>
      </c>
      <c r="E32" s="21">
        <v>7652</v>
      </c>
      <c r="F32" s="21">
        <v>70605</v>
      </c>
    </row>
    <row r="33" spans="1:6" x14ac:dyDescent="0.35">
      <c r="A33" s="3" t="s">
        <v>29</v>
      </c>
      <c r="B33" s="21">
        <v>16882</v>
      </c>
      <c r="C33" s="21">
        <v>11243</v>
      </c>
      <c r="D33" s="21">
        <v>7198</v>
      </c>
      <c r="E33" s="21">
        <v>7595</v>
      </c>
      <c r="F33" s="21">
        <v>42918</v>
      </c>
    </row>
    <row r="34" spans="1:6" s="2" customFormat="1" ht="15" thickBot="1" x14ac:dyDescent="0.4">
      <c r="A34" s="3" t="s">
        <v>39</v>
      </c>
      <c r="B34" s="11">
        <v>0</v>
      </c>
      <c r="C34" s="12">
        <v>0</v>
      </c>
      <c r="D34" s="12">
        <v>0</v>
      </c>
      <c r="E34" s="12">
        <v>0</v>
      </c>
      <c r="F34" s="12">
        <v>0</v>
      </c>
    </row>
    <row r="35" spans="1:6" s="2" customFormat="1" ht="25" customHeight="1" thickBot="1" x14ac:dyDescent="0.4">
      <c r="A35" s="6" t="s">
        <v>30</v>
      </c>
      <c r="B35" s="7">
        <f>SUM(B25:B34)</f>
        <v>379993</v>
      </c>
      <c r="C35" s="7">
        <f>SUM(C25:C34)</f>
        <v>279147</v>
      </c>
      <c r="D35" s="7">
        <f>SUM(D25:D34)</f>
        <v>160788</v>
      </c>
      <c r="E35" s="7">
        <f>SUM(E25:E34)</f>
        <v>264489</v>
      </c>
      <c r="F35" s="7">
        <f>SUM(F25:F34)</f>
        <v>1084417</v>
      </c>
    </row>
    <row r="36" spans="1:6" ht="15" thickBot="1" x14ac:dyDescent="0.4">
      <c r="A36" s="36" t="s">
        <v>33</v>
      </c>
      <c r="B36" s="9">
        <v>3323</v>
      </c>
      <c r="C36" s="10">
        <v>4387</v>
      </c>
      <c r="D36" s="10">
        <v>0</v>
      </c>
      <c r="E36" s="8">
        <v>4312</v>
      </c>
      <c r="F36" s="8">
        <f>SUM(B36:E36)</f>
        <v>12022</v>
      </c>
    </row>
    <row r="37" spans="1:6" ht="30" customHeight="1" thickTop="1" thickBot="1" x14ac:dyDescent="0.4">
      <c r="A37" s="13" t="s">
        <v>31</v>
      </c>
      <c r="B37" s="16">
        <f>SUM(B36,B24,B35)</f>
        <v>476306</v>
      </c>
      <c r="C37" s="16">
        <f>SUM(C36,C24,C35)</f>
        <v>339782</v>
      </c>
      <c r="D37" s="16">
        <f>SUM(D36,D24,D35)</f>
        <v>182729</v>
      </c>
      <c r="E37" s="16">
        <f>SUM(E36,E24,E35)</f>
        <v>333559</v>
      </c>
      <c r="F37" s="16">
        <f>SUM(F36,F24,F35)</f>
        <v>1332376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34</v>
      </c>
      <c r="B2" s="24"/>
      <c r="C2" s="24"/>
      <c r="D2" s="24"/>
      <c r="E2" s="24"/>
      <c r="F2" s="24"/>
    </row>
    <row r="3" spans="1:6" ht="18.5" x14ac:dyDescent="0.45">
      <c r="A3" s="37" t="s">
        <v>37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35</v>
      </c>
      <c r="C6" s="32"/>
      <c r="D6" s="32"/>
      <c r="E6" s="33"/>
      <c r="F6" s="25" t="s">
        <v>36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15</v>
      </c>
      <c r="C8" s="19">
        <v>10</v>
      </c>
      <c r="D8" s="19">
        <v>3</v>
      </c>
      <c r="E8" s="19">
        <v>13</v>
      </c>
      <c r="F8" s="19">
        <v>41</v>
      </c>
    </row>
    <row r="9" spans="1:6" x14ac:dyDescent="0.35">
      <c r="A9" s="3" t="s">
        <v>6</v>
      </c>
      <c r="B9" s="19">
        <v>49</v>
      </c>
      <c r="C9" s="19">
        <v>37</v>
      </c>
      <c r="D9" s="19">
        <v>17</v>
      </c>
      <c r="E9" s="19">
        <v>46</v>
      </c>
      <c r="F9" s="19">
        <v>149</v>
      </c>
    </row>
    <row r="10" spans="1:6" x14ac:dyDescent="0.35">
      <c r="A10" s="3" t="s">
        <v>7</v>
      </c>
      <c r="B10" s="19">
        <v>108</v>
      </c>
      <c r="C10" s="19">
        <v>60</v>
      </c>
      <c r="D10" s="19">
        <v>29</v>
      </c>
      <c r="E10" s="19">
        <v>100</v>
      </c>
      <c r="F10" s="19">
        <v>297</v>
      </c>
    </row>
    <row r="11" spans="1:6" x14ac:dyDescent="0.35">
      <c r="A11" s="3" t="s">
        <v>8</v>
      </c>
      <c r="B11" s="19">
        <v>133</v>
      </c>
      <c r="C11" s="19">
        <v>108</v>
      </c>
      <c r="D11" s="19">
        <v>39</v>
      </c>
      <c r="E11" s="19">
        <v>133</v>
      </c>
      <c r="F11" s="19">
        <v>413</v>
      </c>
    </row>
    <row r="12" spans="1:6" x14ac:dyDescent="0.35">
      <c r="A12" s="3" t="s">
        <v>9</v>
      </c>
      <c r="B12" s="21">
        <v>4082</v>
      </c>
      <c r="C12" s="21">
        <v>3113</v>
      </c>
      <c r="D12" s="19">
        <v>658</v>
      </c>
      <c r="E12" s="21">
        <v>3390</v>
      </c>
      <c r="F12" s="21">
        <v>11243</v>
      </c>
    </row>
    <row r="13" spans="1:6" x14ac:dyDescent="0.35">
      <c r="A13" s="3" t="s">
        <v>10</v>
      </c>
      <c r="B13" s="21">
        <v>9019</v>
      </c>
      <c r="C13" s="21">
        <v>6555</v>
      </c>
      <c r="D13" s="21">
        <v>1953</v>
      </c>
      <c r="E13" s="21">
        <v>9943</v>
      </c>
      <c r="F13" s="21">
        <v>27470</v>
      </c>
    </row>
    <row r="14" spans="1:6" x14ac:dyDescent="0.35">
      <c r="A14" s="3" t="s">
        <v>11</v>
      </c>
      <c r="B14" s="21">
        <v>16191</v>
      </c>
      <c r="C14" s="21">
        <v>10320</v>
      </c>
      <c r="D14" s="21">
        <v>4006</v>
      </c>
      <c r="E14" s="21">
        <v>14364</v>
      </c>
      <c r="F14" s="21">
        <v>44881</v>
      </c>
    </row>
    <row r="15" spans="1:6" x14ac:dyDescent="0.35">
      <c r="A15" s="3" t="s">
        <v>12</v>
      </c>
      <c r="B15" s="21">
        <v>27552</v>
      </c>
      <c r="C15" s="21">
        <v>19947</v>
      </c>
      <c r="D15" s="21">
        <v>5985</v>
      </c>
      <c r="E15" s="21">
        <v>20971</v>
      </c>
      <c r="F15" s="21">
        <v>74455</v>
      </c>
    </row>
    <row r="16" spans="1:6" x14ac:dyDescent="0.35">
      <c r="A16" s="3" t="s">
        <v>13</v>
      </c>
      <c r="B16" s="21">
        <v>12505</v>
      </c>
      <c r="C16" s="21">
        <v>6927</v>
      </c>
      <c r="D16" s="21">
        <v>3876</v>
      </c>
      <c r="E16" s="21">
        <v>8117</v>
      </c>
      <c r="F16" s="21">
        <v>31425</v>
      </c>
    </row>
    <row r="17" spans="1:6" x14ac:dyDescent="0.35">
      <c r="A17" s="3" t="s">
        <v>14</v>
      </c>
      <c r="B17" s="21">
        <v>9358</v>
      </c>
      <c r="C17" s="21">
        <v>7073</v>
      </c>
      <c r="D17" s="21">
        <v>2989</v>
      </c>
      <c r="E17" s="21">
        <v>7589</v>
      </c>
      <c r="F17" s="21">
        <v>27009</v>
      </c>
    </row>
    <row r="18" spans="1:6" x14ac:dyDescent="0.35">
      <c r="A18" s="3" t="s">
        <v>15</v>
      </c>
      <c r="B18" s="19">
        <v>571</v>
      </c>
      <c r="C18" s="19">
        <v>84</v>
      </c>
      <c r="D18" s="19">
        <v>110</v>
      </c>
      <c r="E18" s="19">
        <v>0</v>
      </c>
      <c r="F18" s="19">
        <v>765</v>
      </c>
    </row>
    <row r="19" spans="1:6" x14ac:dyDescent="0.35">
      <c r="A19" s="3" t="s">
        <v>16</v>
      </c>
      <c r="B19" s="21">
        <v>1967</v>
      </c>
      <c r="C19" s="19">
        <v>404</v>
      </c>
      <c r="D19" s="19">
        <v>301</v>
      </c>
      <c r="E19" s="19">
        <v>0</v>
      </c>
      <c r="F19" s="21">
        <v>2672</v>
      </c>
    </row>
    <row r="20" spans="1:6" x14ac:dyDescent="0.35">
      <c r="A20" s="3" t="s">
        <v>17</v>
      </c>
      <c r="B20" s="21">
        <v>3703</v>
      </c>
      <c r="C20" s="19">
        <v>782</v>
      </c>
      <c r="D20" s="19">
        <v>524</v>
      </c>
      <c r="E20" s="19">
        <v>0</v>
      </c>
      <c r="F20" s="21">
        <v>5009</v>
      </c>
    </row>
    <row r="21" spans="1:6" x14ac:dyDescent="0.35">
      <c r="A21" s="3" t="s">
        <v>18</v>
      </c>
      <c r="B21" s="21">
        <v>5546</v>
      </c>
      <c r="C21" s="19">
        <v>628</v>
      </c>
      <c r="D21" s="19">
        <v>792</v>
      </c>
      <c r="E21" s="19">
        <v>0</v>
      </c>
      <c r="F21" s="21">
        <v>6966</v>
      </c>
    </row>
    <row r="22" spans="1:6" x14ac:dyDescent="0.35">
      <c r="A22" s="3" t="s">
        <v>19</v>
      </c>
      <c r="B22" s="21">
        <v>2538</v>
      </c>
      <c r="C22" s="19">
        <v>8</v>
      </c>
      <c r="D22" s="19">
        <v>498</v>
      </c>
      <c r="E22" s="19">
        <v>0</v>
      </c>
      <c r="F22" s="21">
        <v>3044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93337</v>
      </c>
      <c r="C24" s="7">
        <f>SUM(C8:C23)</f>
        <v>56056</v>
      </c>
      <c r="D24" s="7">
        <f>SUM(D8:D23)</f>
        <v>21780</v>
      </c>
      <c r="E24" s="7">
        <f>SUM(E8:E23)</f>
        <v>64666</v>
      </c>
      <c r="F24" s="7">
        <f>SUM(F8:F23)</f>
        <v>235839</v>
      </c>
    </row>
    <row r="25" spans="1:6" x14ac:dyDescent="0.35">
      <c r="A25" s="3" t="s">
        <v>21</v>
      </c>
      <c r="B25" s="21">
        <v>3482</v>
      </c>
      <c r="C25" s="21">
        <v>2766</v>
      </c>
      <c r="D25" s="21">
        <v>1578</v>
      </c>
      <c r="E25" s="21">
        <v>2625</v>
      </c>
      <c r="F25" s="21">
        <v>10451</v>
      </c>
    </row>
    <row r="26" spans="1:6" x14ac:dyDescent="0.35">
      <c r="A26" s="3" t="s">
        <v>22</v>
      </c>
      <c r="B26" s="21">
        <v>11149</v>
      </c>
      <c r="C26" s="21">
        <v>7236</v>
      </c>
      <c r="D26" s="21">
        <v>3946</v>
      </c>
      <c r="E26" s="21">
        <v>5367</v>
      </c>
      <c r="F26" s="21">
        <v>27698</v>
      </c>
    </row>
    <row r="27" spans="1:6" x14ac:dyDescent="0.35">
      <c r="A27" s="3" t="s">
        <v>23</v>
      </c>
      <c r="B27" s="21">
        <v>37219</v>
      </c>
      <c r="C27" s="21">
        <v>21007</v>
      </c>
      <c r="D27" s="21">
        <v>8416</v>
      </c>
      <c r="E27" s="21">
        <v>26783</v>
      </c>
      <c r="F27" s="21">
        <v>93425</v>
      </c>
    </row>
    <row r="28" spans="1:6" x14ac:dyDescent="0.35">
      <c r="A28" s="3" t="s">
        <v>24</v>
      </c>
      <c r="B28" s="21">
        <v>59078</v>
      </c>
      <c r="C28" s="21">
        <v>52666</v>
      </c>
      <c r="D28" s="21">
        <v>14757</v>
      </c>
      <c r="E28" s="21">
        <v>42096</v>
      </c>
      <c r="F28" s="21">
        <v>168597</v>
      </c>
    </row>
    <row r="29" spans="1:6" x14ac:dyDescent="0.35">
      <c r="A29" s="3" t="s">
        <v>25</v>
      </c>
      <c r="B29" s="21">
        <v>67244</v>
      </c>
      <c r="C29" s="21">
        <v>71127</v>
      </c>
      <c r="D29" s="21">
        <v>24234</v>
      </c>
      <c r="E29" s="21">
        <v>62037</v>
      </c>
      <c r="F29" s="21">
        <v>224642</v>
      </c>
    </row>
    <row r="30" spans="1:6" x14ac:dyDescent="0.35">
      <c r="A30" s="3" t="s">
        <v>26</v>
      </c>
      <c r="B30" s="21">
        <v>110306</v>
      </c>
      <c r="C30" s="21">
        <v>53215</v>
      </c>
      <c r="D30" s="21">
        <v>37038</v>
      </c>
      <c r="E30" s="21">
        <v>56393</v>
      </c>
      <c r="F30" s="21">
        <v>256952</v>
      </c>
    </row>
    <row r="31" spans="1:6" x14ac:dyDescent="0.35">
      <c r="A31" s="3" t="s">
        <v>27</v>
      </c>
      <c r="B31" s="21">
        <v>49847</v>
      </c>
      <c r="C31" s="21">
        <v>45372</v>
      </c>
      <c r="D31" s="21">
        <v>44065</v>
      </c>
      <c r="E31" s="21">
        <v>54286</v>
      </c>
      <c r="F31" s="21">
        <v>193570</v>
      </c>
    </row>
    <row r="32" spans="1:6" x14ac:dyDescent="0.35">
      <c r="A32" s="3" t="s">
        <v>28</v>
      </c>
      <c r="B32" s="21">
        <v>27492</v>
      </c>
      <c r="C32" s="21">
        <v>15168</v>
      </c>
      <c r="D32" s="21">
        <v>19195</v>
      </c>
      <c r="E32" s="21">
        <v>7883</v>
      </c>
      <c r="F32" s="21">
        <v>69738</v>
      </c>
    </row>
    <row r="33" spans="1:6" x14ac:dyDescent="0.35">
      <c r="A33" s="3" t="s">
        <v>29</v>
      </c>
      <c r="B33" s="21">
        <v>18246</v>
      </c>
      <c r="C33" s="21">
        <v>12990</v>
      </c>
      <c r="D33" s="21">
        <v>7649</v>
      </c>
      <c r="E33" s="21">
        <v>7710</v>
      </c>
      <c r="F33" s="21">
        <v>46595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384063</v>
      </c>
      <c r="C35" s="7">
        <f>SUM(C25:C34)</f>
        <v>281547</v>
      </c>
      <c r="D35" s="7">
        <f>SUM(D25:D34)</f>
        <v>160878</v>
      </c>
      <c r="E35" s="7">
        <f>SUM(E25:E34)</f>
        <v>265180</v>
      </c>
      <c r="F35" s="7">
        <f>SUM(F25:F34)</f>
        <v>1091668</v>
      </c>
    </row>
    <row r="36" spans="1:6" ht="15" thickBot="1" x14ac:dyDescent="0.4">
      <c r="A36" s="36" t="s">
        <v>33</v>
      </c>
      <c r="B36" s="9">
        <v>4539</v>
      </c>
      <c r="C36" s="10">
        <v>4558</v>
      </c>
      <c r="D36" s="10">
        <v>0</v>
      </c>
      <c r="E36" s="8">
        <v>4289</v>
      </c>
      <c r="F36" s="8">
        <f>SUM(B36:E36)</f>
        <v>13386</v>
      </c>
    </row>
    <row r="37" spans="1:6" ht="30" customHeight="1" thickTop="1" thickBot="1" x14ac:dyDescent="0.4">
      <c r="A37" s="13" t="s">
        <v>31</v>
      </c>
      <c r="B37" s="16">
        <f>SUM(B36,B24,B35)</f>
        <v>481939</v>
      </c>
      <c r="C37" s="16">
        <f>SUM(C36,C24,C35)</f>
        <v>342161</v>
      </c>
      <c r="D37" s="16">
        <f>SUM(D36,D24,D35)</f>
        <v>182658</v>
      </c>
      <c r="E37" s="16">
        <f>SUM(E36,E24,E35)</f>
        <v>334135</v>
      </c>
      <c r="F37" s="16">
        <f>SUM(F36,F24,F35)</f>
        <v>1340893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sqref="A1:F1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34</v>
      </c>
      <c r="B2" s="24"/>
      <c r="C2" s="24"/>
      <c r="D2" s="24"/>
      <c r="E2" s="24"/>
      <c r="F2" s="24"/>
    </row>
    <row r="3" spans="1:6" ht="18.5" x14ac:dyDescent="0.45">
      <c r="A3" s="37" t="s">
        <v>38</v>
      </c>
      <c r="B3" s="24"/>
      <c r="C3" s="24"/>
      <c r="D3" s="24"/>
      <c r="E3" s="24"/>
      <c r="F3" s="24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35</v>
      </c>
      <c r="C6" s="32"/>
      <c r="D6" s="32"/>
      <c r="E6" s="33"/>
      <c r="F6" s="25" t="s">
        <v>36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9">
        <v>16</v>
      </c>
      <c r="C8" s="19">
        <v>9</v>
      </c>
      <c r="D8" s="19">
        <v>3</v>
      </c>
      <c r="E8" s="19">
        <v>16</v>
      </c>
      <c r="F8" s="19">
        <v>44</v>
      </c>
    </row>
    <row r="9" spans="1:6" x14ac:dyDescent="0.35">
      <c r="A9" s="3" t="s">
        <v>6</v>
      </c>
      <c r="B9" s="19">
        <v>49</v>
      </c>
      <c r="C9" s="19">
        <v>39</v>
      </c>
      <c r="D9" s="19">
        <v>19</v>
      </c>
      <c r="E9" s="19">
        <v>49</v>
      </c>
      <c r="F9" s="19">
        <v>156</v>
      </c>
    </row>
    <row r="10" spans="1:6" x14ac:dyDescent="0.35">
      <c r="A10" s="3" t="s">
        <v>7</v>
      </c>
      <c r="B10" s="19">
        <v>102</v>
      </c>
      <c r="C10" s="19">
        <v>64</v>
      </c>
      <c r="D10" s="19">
        <v>31</v>
      </c>
      <c r="E10" s="19">
        <v>95</v>
      </c>
      <c r="F10" s="19">
        <v>292</v>
      </c>
    </row>
    <row r="11" spans="1:6" x14ac:dyDescent="0.35">
      <c r="A11" s="3" t="s">
        <v>8</v>
      </c>
      <c r="B11" s="19">
        <v>137</v>
      </c>
      <c r="C11" s="19">
        <v>108</v>
      </c>
      <c r="D11" s="19">
        <v>37</v>
      </c>
      <c r="E11" s="19">
        <v>140</v>
      </c>
      <c r="F11" s="19">
        <v>422</v>
      </c>
    </row>
    <row r="12" spans="1:6" x14ac:dyDescent="0.35">
      <c r="A12" s="3" t="s">
        <v>9</v>
      </c>
      <c r="B12" s="21">
        <v>4057</v>
      </c>
      <c r="C12" s="21">
        <v>3067</v>
      </c>
      <c r="D12" s="19">
        <v>660</v>
      </c>
      <c r="E12" s="21">
        <v>3355</v>
      </c>
      <c r="F12" s="21">
        <v>11139</v>
      </c>
    </row>
    <row r="13" spans="1:6" x14ac:dyDescent="0.35">
      <c r="A13" s="3" t="s">
        <v>10</v>
      </c>
      <c r="B13" s="21">
        <v>9140</v>
      </c>
      <c r="C13" s="21">
        <v>6496</v>
      </c>
      <c r="D13" s="21">
        <v>1948</v>
      </c>
      <c r="E13" s="21">
        <v>9865</v>
      </c>
      <c r="F13" s="21">
        <v>27449</v>
      </c>
    </row>
    <row r="14" spans="1:6" x14ac:dyDescent="0.35">
      <c r="A14" s="3" t="s">
        <v>11</v>
      </c>
      <c r="B14" s="21">
        <v>16037</v>
      </c>
      <c r="C14" s="21">
        <v>10267</v>
      </c>
      <c r="D14" s="21">
        <v>4009</v>
      </c>
      <c r="E14" s="21">
        <v>14316</v>
      </c>
      <c r="F14" s="21">
        <v>44629</v>
      </c>
    </row>
    <row r="15" spans="1:6" x14ac:dyDescent="0.35">
      <c r="A15" s="3" t="s">
        <v>12</v>
      </c>
      <c r="B15" s="21">
        <v>27274</v>
      </c>
      <c r="C15" s="21">
        <v>19860</v>
      </c>
      <c r="D15" s="21">
        <v>5888</v>
      </c>
      <c r="E15" s="21">
        <v>20781</v>
      </c>
      <c r="F15" s="21">
        <v>73803</v>
      </c>
    </row>
    <row r="16" spans="1:6" x14ac:dyDescent="0.35">
      <c r="A16" s="3" t="s">
        <v>13</v>
      </c>
      <c r="B16" s="21">
        <v>12505</v>
      </c>
      <c r="C16" s="21">
        <v>6846</v>
      </c>
      <c r="D16" s="21">
        <v>4006</v>
      </c>
      <c r="E16" s="21">
        <v>8507</v>
      </c>
      <c r="F16" s="21">
        <v>31864</v>
      </c>
    </row>
    <row r="17" spans="1:6" x14ac:dyDescent="0.35">
      <c r="A17" s="3" t="s">
        <v>14</v>
      </c>
      <c r="B17" s="21">
        <v>9722</v>
      </c>
      <c r="C17" s="21">
        <v>7156</v>
      </c>
      <c r="D17" s="21">
        <v>2752</v>
      </c>
      <c r="E17" s="21">
        <v>7385</v>
      </c>
      <c r="F17" s="21">
        <v>27015</v>
      </c>
    </row>
    <row r="18" spans="1:6" x14ac:dyDescent="0.35">
      <c r="A18" s="3" t="s">
        <v>15</v>
      </c>
      <c r="B18" s="19">
        <v>568</v>
      </c>
      <c r="C18" s="19">
        <v>87</v>
      </c>
      <c r="D18" s="19">
        <v>112</v>
      </c>
      <c r="E18" s="19">
        <v>0</v>
      </c>
      <c r="F18" s="19">
        <v>767</v>
      </c>
    </row>
    <row r="19" spans="1:6" x14ac:dyDescent="0.35">
      <c r="A19" s="3" t="s">
        <v>16</v>
      </c>
      <c r="B19" s="21">
        <v>1962</v>
      </c>
      <c r="C19" s="19">
        <v>405</v>
      </c>
      <c r="D19" s="19">
        <v>305</v>
      </c>
      <c r="E19" s="19">
        <v>0</v>
      </c>
      <c r="F19" s="21">
        <v>2672</v>
      </c>
    </row>
    <row r="20" spans="1:6" x14ac:dyDescent="0.35">
      <c r="A20" s="3" t="s">
        <v>17</v>
      </c>
      <c r="B20" s="21">
        <v>3680</v>
      </c>
      <c r="C20" s="19">
        <v>770</v>
      </c>
      <c r="D20" s="19">
        <v>598</v>
      </c>
      <c r="E20" s="19">
        <v>0</v>
      </c>
      <c r="F20" s="21">
        <v>5048</v>
      </c>
    </row>
    <row r="21" spans="1:6" x14ac:dyDescent="0.35">
      <c r="A21" s="3" t="s">
        <v>18</v>
      </c>
      <c r="B21" s="21">
        <v>5597</v>
      </c>
      <c r="C21" s="19">
        <v>630</v>
      </c>
      <c r="D21" s="19">
        <v>926</v>
      </c>
      <c r="E21" s="19">
        <v>0</v>
      </c>
      <c r="F21" s="21">
        <v>7153</v>
      </c>
    </row>
    <row r="22" spans="1:6" x14ac:dyDescent="0.35">
      <c r="A22" s="3" t="s">
        <v>19</v>
      </c>
      <c r="B22" s="21">
        <v>2533</v>
      </c>
      <c r="C22" s="19">
        <v>8</v>
      </c>
      <c r="D22" s="19">
        <v>262</v>
      </c>
      <c r="E22" s="19">
        <v>0</v>
      </c>
      <c r="F22" s="21">
        <v>2803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93379</v>
      </c>
      <c r="C24" s="7">
        <f>SUM(C8:C23)</f>
        <v>55812</v>
      </c>
      <c r="D24" s="7">
        <f>SUM(D8:D23)</f>
        <v>21556</v>
      </c>
      <c r="E24" s="7">
        <f>SUM(E8:E23)</f>
        <v>64509</v>
      </c>
      <c r="F24" s="7">
        <f>SUM(F8:F23)</f>
        <v>235256</v>
      </c>
    </row>
    <row r="25" spans="1:6" x14ac:dyDescent="0.35">
      <c r="A25" s="3" t="s">
        <v>21</v>
      </c>
      <c r="B25" s="21">
        <v>3502</v>
      </c>
      <c r="C25" s="21">
        <v>2751</v>
      </c>
      <c r="D25" s="21">
        <v>1571</v>
      </c>
      <c r="E25" s="21">
        <v>2625</v>
      </c>
      <c r="F25" s="21">
        <v>10449</v>
      </c>
    </row>
    <row r="26" spans="1:6" x14ac:dyDescent="0.35">
      <c r="A26" s="3" t="s">
        <v>22</v>
      </c>
      <c r="B26" s="21">
        <v>11068</v>
      </c>
      <c r="C26" s="21">
        <v>7155</v>
      </c>
      <c r="D26" s="21">
        <v>3951</v>
      </c>
      <c r="E26" s="21">
        <v>5341</v>
      </c>
      <c r="F26" s="21">
        <v>27515</v>
      </c>
    </row>
    <row r="27" spans="1:6" x14ac:dyDescent="0.35">
      <c r="A27" s="3" t="s">
        <v>23</v>
      </c>
      <c r="B27" s="21">
        <v>36915</v>
      </c>
      <c r="C27" s="21">
        <v>22872</v>
      </c>
      <c r="D27" s="21">
        <v>8251</v>
      </c>
      <c r="E27" s="21">
        <v>26654</v>
      </c>
      <c r="F27" s="21">
        <v>94692</v>
      </c>
    </row>
    <row r="28" spans="1:6" x14ac:dyDescent="0.35">
      <c r="A28" s="3" t="s">
        <v>24</v>
      </c>
      <c r="B28" s="21">
        <v>58982</v>
      </c>
      <c r="C28" s="21">
        <v>50700</v>
      </c>
      <c r="D28" s="21">
        <v>14866</v>
      </c>
      <c r="E28" s="21">
        <v>42303</v>
      </c>
      <c r="F28" s="21">
        <v>166851</v>
      </c>
    </row>
    <row r="29" spans="1:6" x14ac:dyDescent="0.35">
      <c r="A29" s="3" t="s">
        <v>25</v>
      </c>
      <c r="B29" s="21">
        <v>67512</v>
      </c>
      <c r="C29" s="21">
        <v>70963</v>
      </c>
      <c r="D29" s="21">
        <v>23941</v>
      </c>
      <c r="E29" s="21">
        <v>61875</v>
      </c>
      <c r="F29" s="21">
        <v>224291</v>
      </c>
    </row>
    <row r="30" spans="1:6" x14ac:dyDescent="0.35">
      <c r="A30" s="3" t="s">
        <v>26</v>
      </c>
      <c r="B30" s="21">
        <v>111561</v>
      </c>
      <c r="C30" s="21">
        <v>53647</v>
      </c>
      <c r="D30" s="21">
        <v>36191</v>
      </c>
      <c r="E30" s="21">
        <v>56644</v>
      </c>
      <c r="F30" s="21">
        <v>258043</v>
      </c>
    </row>
    <row r="31" spans="1:6" x14ac:dyDescent="0.35">
      <c r="A31" s="3" t="s">
        <v>27</v>
      </c>
      <c r="B31" s="21">
        <v>52692</v>
      </c>
      <c r="C31" s="21">
        <v>46105</v>
      </c>
      <c r="D31" s="21">
        <v>44169</v>
      </c>
      <c r="E31" s="21">
        <v>54075</v>
      </c>
      <c r="F31" s="21">
        <v>197041</v>
      </c>
    </row>
    <row r="32" spans="1:6" x14ac:dyDescent="0.35">
      <c r="A32" s="3" t="s">
        <v>28</v>
      </c>
      <c r="B32" s="21">
        <v>26883</v>
      </c>
      <c r="C32" s="21">
        <v>15003</v>
      </c>
      <c r="D32" s="21">
        <v>18722</v>
      </c>
      <c r="E32" s="21">
        <v>7875</v>
      </c>
      <c r="F32" s="21">
        <v>68483</v>
      </c>
    </row>
    <row r="33" spans="1:6" x14ac:dyDescent="0.35">
      <c r="A33" s="3" t="s">
        <v>29</v>
      </c>
      <c r="B33" s="21">
        <v>19324</v>
      </c>
      <c r="C33" s="21">
        <v>14638</v>
      </c>
      <c r="D33" s="21">
        <v>8846</v>
      </c>
      <c r="E33" s="21">
        <v>7897</v>
      </c>
      <c r="F33" s="21">
        <v>50705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388439</v>
      </c>
      <c r="C35" s="7">
        <f>SUM(C25:C34)</f>
        <v>283834</v>
      </c>
      <c r="D35" s="7">
        <f>SUM(D25:D34)</f>
        <v>160508</v>
      </c>
      <c r="E35" s="7">
        <f>SUM(E25:E34)</f>
        <v>265289</v>
      </c>
      <c r="F35" s="7">
        <f>SUM(F25:F34)</f>
        <v>1098070</v>
      </c>
    </row>
    <row r="36" spans="1:6" ht="15" thickBot="1" x14ac:dyDescent="0.4">
      <c r="A36" s="36" t="s">
        <v>33</v>
      </c>
      <c r="B36" s="9">
        <v>4511</v>
      </c>
      <c r="C36" s="10">
        <v>4539</v>
      </c>
      <c r="D36" s="10">
        <v>0</v>
      </c>
      <c r="E36" s="8">
        <v>4235</v>
      </c>
      <c r="F36" s="8">
        <f>SUM(B36:E36)</f>
        <v>13285</v>
      </c>
    </row>
    <row r="37" spans="1:6" ht="30" customHeight="1" thickTop="1" thickBot="1" x14ac:dyDescent="0.4">
      <c r="A37" s="13" t="s">
        <v>31</v>
      </c>
      <c r="B37" s="16">
        <f>SUM(B36,B24,B35)</f>
        <v>486329</v>
      </c>
      <c r="C37" s="16">
        <f>SUM(C36,C24,C35)</f>
        <v>344185</v>
      </c>
      <c r="D37" s="16">
        <f>SUM(D36,D24,D35)</f>
        <v>182064</v>
      </c>
      <c r="E37" s="16">
        <f>SUM(E36,E24,E35)</f>
        <v>334033</v>
      </c>
      <c r="F37" s="16">
        <f>SUM(F36,F24,F35)</f>
        <v>1346611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38"/>
  <sheetViews>
    <sheetView tabSelected="1" workbookViewId="0">
      <selection activeCell="A3" sqref="A3:F3"/>
    </sheetView>
  </sheetViews>
  <sheetFormatPr defaultRowHeight="14.5" x14ac:dyDescent="0.35"/>
  <cols>
    <col min="1" max="1" width="40.81640625" style="1" bestFit="1" customWidth="1"/>
    <col min="2" max="6" width="16.7265625" customWidth="1"/>
  </cols>
  <sheetData>
    <row r="1" spans="1:6" ht="18.5" x14ac:dyDescent="0.45">
      <c r="A1" s="23" t="s">
        <v>32</v>
      </c>
      <c r="B1" s="24"/>
      <c r="C1" s="24"/>
      <c r="D1" s="24"/>
      <c r="E1" s="24"/>
      <c r="F1" s="24"/>
    </row>
    <row r="2" spans="1:6" ht="18.5" x14ac:dyDescent="0.45">
      <c r="A2" s="23" t="s">
        <v>34</v>
      </c>
      <c r="B2" s="24"/>
      <c r="C2" s="24"/>
      <c r="D2" s="24"/>
      <c r="E2" s="24"/>
      <c r="F2" s="24"/>
    </row>
    <row r="3" spans="1:6" ht="18.5" x14ac:dyDescent="0.45">
      <c r="A3" s="29">
        <v>44104</v>
      </c>
      <c r="B3" s="30"/>
      <c r="C3" s="30"/>
      <c r="D3" s="30"/>
      <c r="E3" s="30"/>
      <c r="F3" s="30"/>
    </row>
    <row r="4" spans="1:6" ht="18.5" x14ac:dyDescent="0.45">
      <c r="A4" s="24"/>
      <c r="B4" s="24"/>
      <c r="C4" s="24"/>
      <c r="D4" s="24"/>
      <c r="E4" s="24"/>
      <c r="F4" s="24"/>
    </row>
    <row r="5" spans="1:6" x14ac:dyDescent="0.35">
      <c r="A5" s="27"/>
      <c r="B5" s="28"/>
      <c r="C5" s="28"/>
      <c r="D5" s="28"/>
      <c r="E5" s="28"/>
      <c r="F5" s="28"/>
    </row>
    <row r="6" spans="1:6" s="1" customFormat="1" x14ac:dyDescent="0.35">
      <c r="A6" s="34" t="s">
        <v>4</v>
      </c>
      <c r="B6" s="31" t="s">
        <v>35</v>
      </c>
      <c r="C6" s="32"/>
      <c r="D6" s="32"/>
      <c r="E6" s="33"/>
      <c r="F6" s="25" t="s">
        <v>36</v>
      </c>
    </row>
    <row r="7" spans="1:6" ht="15" thickBot="1" x14ac:dyDescent="0.4">
      <c r="A7" s="35"/>
      <c r="B7" s="5" t="s">
        <v>0</v>
      </c>
      <c r="C7" s="5" t="s">
        <v>1</v>
      </c>
      <c r="D7" s="5" t="s">
        <v>2</v>
      </c>
      <c r="E7" s="5" t="s">
        <v>3</v>
      </c>
      <c r="F7" s="26"/>
    </row>
    <row r="8" spans="1:6" ht="15" thickTop="1" x14ac:dyDescent="0.35">
      <c r="A8" s="3" t="s">
        <v>5</v>
      </c>
      <c r="B8" s="17">
        <v>17</v>
      </c>
      <c r="C8" s="17">
        <v>9</v>
      </c>
      <c r="D8" s="17">
        <v>3</v>
      </c>
      <c r="E8" s="17">
        <v>16</v>
      </c>
      <c r="F8" s="17">
        <v>45</v>
      </c>
    </row>
    <row r="9" spans="1:6" x14ac:dyDescent="0.35">
      <c r="A9" s="3" t="s">
        <v>6</v>
      </c>
      <c r="B9" s="17">
        <v>47</v>
      </c>
      <c r="C9" s="17">
        <v>38</v>
      </c>
      <c r="D9" s="17">
        <v>17</v>
      </c>
      <c r="E9" s="17">
        <v>51</v>
      </c>
      <c r="F9" s="17">
        <v>153</v>
      </c>
    </row>
    <row r="10" spans="1:6" x14ac:dyDescent="0.35">
      <c r="A10" s="3" t="s">
        <v>7</v>
      </c>
      <c r="B10" s="17">
        <v>93</v>
      </c>
      <c r="C10" s="17">
        <v>64</v>
      </c>
      <c r="D10" s="17">
        <v>31</v>
      </c>
      <c r="E10" s="17">
        <v>93</v>
      </c>
      <c r="F10" s="17">
        <v>281</v>
      </c>
    </row>
    <row r="11" spans="1:6" x14ac:dyDescent="0.35">
      <c r="A11" s="3" t="s">
        <v>8</v>
      </c>
      <c r="B11" s="17">
        <v>138</v>
      </c>
      <c r="C11" s="17">
        <v>106</v>
      </c>
      <c r="D11" s="17">
        <v>38</v>
      </c>
      <c r="E11" s="17">
        <v>135</v>
      </c>
      <c r="F11" s="17">
        <v>417</v>
      </c>
    </row>
    <row r="12" spans="1:6" x14ac:dyDescent="0.35">
      <c r="A12" s="3" t="s">
        <v>9</v>
      </c>
      <c r="B12" s="18">
        <v>4002</v>
      </c>
      <c r="C12" s="18">
        <v>3293</v>
      </c>
      <c r="D12" s="17">
        <v>659</v>
      </c>
      <c r="E12" s="18">
        <v>3292</v>
      </c>
      <c r="F12" s="18">
        <v>11246</v>
      </c>
    </row>
    <row r="13" spans="1:6" x14ac:dyDescent="0.35">
      <c r="A13" s="3" t="s">
        <v>10</v>
      </c>
      <c r="B13" s="18">
        <v>9029</v>
      </c>
      <c r="C13" s="18">
        <v>6771</v>
      </c>
      <c r="D13" s="18">
        <v>1949</v>
      </c>
      <c r="E13" s="18">
        <v>9820</v>
      </c>
      <c r="F13" s="18">
        <v>27569</v>
      </c>
    </row>
    <row r="14" spans="1:6" x14ac:dyDescent="0.35">
      <c r="A14" s="3" t="s">
        <v>11</v>
      </c>
      <c r="B14" s="18">
        <v>16057</v>
      </c>
      <c r="C14" s="18">
        <v>10691</v>
      </c>
      <c r="D14" s="18">
        <v>4009</v>
      </c>
      <c r="E14" s="18">
        <v>14309</v>
      </c>
      <c r="F14" s="18">
        <v>45066</v>
      </c>
    </row>
    <row r="15" spans="1:6" x14ac:dyDescent="0.35">
      <c r="A15" s="3" t="s">
        <v>12</v>
      </c>
      <c r="B15" s="18">
        <v>27144</v>
      </c>
      <c r="C15" s="18">
        <v>18783</v>
      </c>
      <c r="D15" s="18">
        <v>5917</v>
      </c>
      <c r="E15" s="18">
        <v>20758</v>
      </c>
      <c r="F15" s="18">
        <v>72602</v>
      </c>
    </row>
    <row r="16" spans="1:6" x14ac:dyDescent="0.35">
      <c r="A16" s="3" t="s">
        <v>13</v>
      </c>
      <c r="B16" s="18">
        <v>12264</v>
      </c>
      <c r="C16" s="18">
        <v>6865</v>
      </c>
      <c r="D16" s="18">
        <v>3867</v>
      </c>
      <c r="E16" s="18">
        <v>8415</v>
      </c>
      <c r="F16" s="18">
        <v>31411</v>
      </c>
    </row>
    <row r="17" spans="1:6" x14ac:dyDescent="0.35">
      <c r="A17" s="3" t="s">
        <v>14</v>
      </c>
      <c r="B17" s="18">
        <v>9850</v>
      </c>
      <c r="C17" s="18">
        <v>7150</v>
      </c>
      <c r="D17" s="18">
        <v>2789</v>
      </c>
      <c r="E17" s="18">
        <v>7356</v>
      </c>
      <c r="F17" s="18">
        <v>27145</v>
      </c>
    </row>
    <row r="18" spans="1:6" x14ac:dyDescent="0.35">
      <c r="A18" s="3" t="s">
        <v>15</v>
      </c>
      <c r="B18" s="19">
        <v>551</v>
      </c>
      <c r="C18" s="19">
        <v>87</v>
      </c>
      <c r="D18" s="19">
        <v>111</v>
      </c>
      <c r="E18" s="19">
        <v>0</v>
      </c>
      <c r="F18" s="19">
        <v>749</v>
      </c>
    </row>
    <row r="19" spans="1:6" x14ac:dyDescent="0.35">
      <c r="A19" s="3" t="s">
        <v>16</v>
      </c>
      <c r="B19" s="20">
        <v>1949</v>
      </c>
      <c r="C19" s="19">
        <v>405</v>
      </c>
      <c r="D19" s="19">
        <v>303</v>
      </c>
      <c r="E19" s="19">
        <v>0</v>
      </c>
      <c r="F19" s="20">
        <v>2657</v>
      </c>
    </row>
    <row r="20" spans="1:6" x14ac:dyDescent="0.35">
      <c r="A20" s="3" t="s">
        <v>17</v>
      </c>
      <c r="B20" s="20">
        <v>3640</v>
      </c>
      <c r="C20" s="19">
        <v>758</v>
      </c>
      <c r="D20" s="19">
        <v>577</v>
      </c>
      <c r="E20" s="19">
        <v>0</v>
      </c>
      <c r="F20" s="20">
        <v>4975</v>
      </c>
    </row>
    <row r="21" spans="1:6" x14ac:dyDescent="0.35">
      <c r="A21" s="3" t="s">
        <v>18</v>
      </c>
      <c r="B21" s="20">
        <v>5527</v>
      </c>
      <c r="C21" s="19">
        <v>631</v>
      </c>
      <c r="D21" s="19">
        <v>920</v>
      </c>
      <c r="E21" s="19">
        <v>0</v>
      </c>
      <c r="F21" s="20">
        <v>7078</v>
      </c>
    </row>
    <row r="22" spans="1:6" x14ac:dyDescent="0.35">
      <c r="A22" s="3" t="s">
        <v>19</v>
      </c>
      <c r="B22" s="20">
        <v>2674</v>
      </c>
      <c r="C22" s="19">
        <v>8</v>
      </c>
      <c r="D22" s="19">
        <v>260</v>
      </c>
      <c r="E22" s="19">
        <v>0</v>
      </c>
      <c r="F22" s="20">
        <v>2942</v>
      </c>
    </row>
    <row r="23" spans="1:6" ht="15" thickBot="1" x14ac:dyDescent="0.4">
      <c r="A23" s="4"/>
      <c r="F23" s="22"/>
    </row>
    <row r="24" spans="1:6" ht="25" customHeight="1" thickBot="1" x14ac:dyDescent="0.4">
      <c r="A24" s="6" t="s">
        <v>20</v>
      </c>
      <c r="B24" s="7">
        <f>SUM(B8:B23)</f>
        <v>92982</v>
      </c>
      <c r="C24" s="7">
        <f>SUM(C8:C23)</f>
        <v>55659</v>
      </c>
      <c r="D24" s="7">
        <f>SUM(D8:D23)</f>
        <v>21450</v>
      </c>
      <c r="E24" s="7">
        <f>SUM(E8:E23)</f>
        <v>64245</v>
      </c>
      <c r="F24" s="7">
        <f>SUM(F8:F23)</f>
        <v>234336</v>
      </c>
    </row>
    <row r="25" spans="1:6" x14ac:dyDescent="0.35">
      <c r="A25" s="3" t="s">
        <v>21</v>
      </c>
      <c r="B25" s="21">
        <v>3485</v>
      </c>
      <c r="C25" s="21">
        <v>2720</v>
      </c>
      <c r="D25" s="21">
        <v>1577</v>
      </c>
      <c r="E25" s="21">
        <v>2632</v>
      </c>
      <c r="F25" s="21">
        <v>10414</v>
      </c>
    </row>
    <row r="26" spans="1:6" x14ac:dyDescent="0.35">
      <c r="A26" s="3" t="s">
        <v>22</v>
      </c>
      <c r="B26" s="21">
        <v>10952</v>
      </c>
      <c r="C26" s="21">
        <v>7090</v>
      </c>
      <c r="D26" s="21">
        <v>3952</v>
      </c>
      <c r="E26" s="21">
        <v>5277</v>
      </c>
      <c r="F26" s="21">
        <v>27271</v>
      </c>
    </row>
    <row r="27" spans="1:6" x14ac:dyDescent="0.35">
      <c r="A27" s="3" t="s">
        <v>23</v>
      </c>
      <c r="B27" s="21">
        <v>36461</v>
      </c>
      <c r="C27" s="21">
        <v>22732</v>
      </c>
      <c r="D27" s="21">
        <v>8216</v>
      </c>
      <c r="E27" s="21">
        <v>26536</v>
      </c>
      <c r="F27" s="21">
        <v>93945</v>
      </c>
    </row>
    <row r="28" spans="1:6" x14ac:dyDescent="0.35">
      <c r="A28" s="3" t="s">
        <v>24</v>
      </c>
      <c r="B28" s="21">
        <v>59013</v>
      </c>
      <c r="C28" s="21">
        <v>51041</v>
      </c>
      <c r="D28" s="21">
        <v>14846</v>
      </c>
      <c r="E28" s="21">
        <v>42462</v>
      </c>
      <c r="F28" s="21">
        <v>167362</v>
      </c>
    </row>
    <row r="29" spans="1:6" x14ac:dyDescent="0.35">
      <c r="A29" s="3" t="s">
        <v>25</v>
      </c>
      <c r="B29" s="21">
        <v>68030</v>
      </c>
      <c r="C29" s="21">
        <v>71686</v>
      </c>
      <c r="D29" s="21">
        <v>23813</v>
      </c>
      <c r="E29" s="21">
        <v>61506</v>
      </c>
      <c r="F29" s="21">
        <v>225035</v>
      </c>
    </row>
    <row r="30" spans="1:6" x14ac:dyDescent="0.35">
      <c r="A30" s="3" t="s">
        <v>26</v>
      </c>
      <c r="B30" s="21">
        <v>112230</v>
      </c>
      <c r="C30" s="21">
        <v>59121</v>
      </c>
      <c r="D30" s="21">
        <v>36190</v>
      </c>
      <c r="E30" s="21">
        <v>57461</v>
      </c>
      <c r="F30" s="21">
        <v>265002</v>
      </c>
    </row>
    <row r="31" spans="1:6" x14ac:dyDescent="0.35">
      <c r="A31" s="3" t="s">
        <v>27</v>
      </c>
      <c r="B31" s="21">
        <v>54142</v>
      </c>
      <c r="C31" s="21">
        <v>41104</v>
      </c>
      <c r="D31" s="21">
        <v>44057</v>
      </c>
      <c r="E31" s="21">
        <v>53461</v>
      </c>
      <c r="F31" s="21">
        <v>192764</v>
      </c>
    </row>
    <row r="32" spans="1:6" x14ac:dyDescent="0.35">
      <c r="A32" s="3" t="s">
        <v>28</v>
      </c>
      <c r="B32" s="21">
        <v>24615</v>
      </c>
      <c r="C32" s="21">
        <v>16147</v>
      </c>
      <c r="D32" s="21">
        <v>17807</v>
      </c>
      <c r="E32" s="21">
        <v>7896</v>
      </c>
      <c r="F32" s="21">
        <v>66465</v>
      </c>
    </row>
    <row r="33" spans="1:6" x14ac:dyDescent="0.35">
      <c r="A33" s="3" t="s">
        <v>29</v>
      </c>
      <c r="B33" s="21">
        <v>18983</v>
      </c>
      <c r="C33" s="21">
        <v>14696</v>
      </c>
      <c r="D33" s="21">
        <v>9050</v>
      </c>
      <c r="E33" s="21">
        <v>8138</v>
      </c>
      <c r="F33" s="21">
        <v>50867</v>
      </c>
    </row>
    <row r="34" spans="1:6" s="2" customFormat="1" ht="15" thickBot="1" x14ac:dyDescent="0.4">
      <c r="A34" s="3"/>
      <c r="B34" s="11"/>
      <c r="C34" s="12"/>
      <c r="D34" s="12"/>
      <c r="E34" s="12"/>
      <c r="F34" s="12"/>
    </row>
    <row r="35" spans="1:6" s="2" customFormat="1" ht="25" customHeight="1" thickBot="1" x14ac:dyDescent="0.4">
      <c r="A35" s="6" t="s">
        <v>30</v>
      </c>
      <c r="B35" s="7">
        <f>SUM(B25:B34)</f>
        <v>387911</v>
      </c>
      <c r="C35" s="7">
        <f>SUM(C25:C34)</f>
        <v>286337</v>
      </c>
      <c r="D35" s="7">
        <f>SUM(D25:D34)</f>
        <v>159508</v>
      </c>
      <c r="E35" s="7">
        <f>SUM(E25:E34)</f>
        <v>265369</v>
      </c>
      <c r="F35" s="7">
        <f>SUM(F25:F34)</f>
        <v>1099125</v>
      </c>
    </row>
    <row r="36" spans="1:6" ht="15" thickBot="1" x14ac:dyDescent="0.4">
      <c r="A36" s="14" t="s">
        <v>33</v>
      </c>
      <c r="B36" s="9">
        <v>4490</v>
      </c>
      <c r="C36" s="10">
        <v>4524</v>
      </c>
      <c r="D36" s="10">
        <v>0</v>
      </c>
      <c r="E36" s="8">
        <v>4176</v>
      </c>
      <c r="F36" s="8">
        <f>SUM(B36:E36)</f>
        <v>13190</v>
      </c>
    </row>
    <row r="37" spans="1:6" ht="30" customHeight="1" thickTop="1" thickBot="1" x14ac:dyDescent="0.4">
      <c r="A37" s="13" t="s">
        <v>31</v>
      </c>
      <c r="B37" s="16">
        <f>SUM(B36,B24,B35)</f>
        <v>485383</v>
      </c>
      <c r="C37" s="16">
        <f>SUM(C36,C24,C35)</f>
        <v>346520</v>
      </c>
      <c r="D37" s="16">
        <f>SUM(D36,D24,D35)</f>
        <v>180958</v>
      </c>
      <c r="E37" s="16">
        <f>SUM(E36,E24,E35)</f>
        <v>333790</v>
      </c>
      <c r="F37" s="16">
        <f>SUM(F36,F24,F35)</f>
        <v>1346651</v>
      </c>
    </row>
    <row r="38" spans="1:6" ht="33" customHeight="1" thickTop="1" x14ac:dyDescent="0.35">
      <c r="B38" s="15"/>
    </row>
  </sheetData>
  <mergeCells count="8">
    <mergeCell ref="A1:F1"/>
    <mergeCell ref="F6:F7"/>
    <mergeCell ref="A5:F5"/>
    <mergeCell ref="A4:F4"/>
    <mergeCell ref="A3:F3"/>
    <mergeCell ref="B6:E6"/>
    <mergeCell ref="A2:F2"/>
    <mergeCell ref="A6:A7"/>
  </mergeCells>
  <printOptions horizontalCentered="1"/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DRS 42486 - 201910</vt:lpstr>
      <vt:lpstr>DRS 42486 - 201911</vt:lpstr>
      <vt:lpstr>DRS 42486 - 201912</vt:lpstr>
      <vt:lpstr>DRS 42486 - 202001</vt:lpstr>
      <vt:lpstr>DRS 42486 - 202002</vt:lpstr>
      <vt:lpstr>DRS 42486 - 202003</vt:lpstr>
      <vt:lpstr>DRS 42486 - 202004</vt:lpstr>
      <vt:lpstr>DRS 42486 - 202005</vt:lpstr>
      <vt:lpstr>DRS 42486 - 202006</vt:lpstr>
      <vt:lpstr>DRS 42486 - 202007</vt:lpstr>
      <vt:lpstr>DRS 42486 - 202008</vt:lpstr>
      <vt:lpstr>DRS 42486 - 202009</vt:lpstr>
      <vt:lpstr>'DRS 42486 - 201910'!Print_Area</vt:lpstr>
      <vt:lpstr>'DRS 42486 - 201911'!Print_Area</vt:lpstr>
      <vt:lpstr>'DRS 42486 - 201912'!Print_Area</vt:lpstr>
      <vt:lpstr>'DRS 42486 - 202001'!Print_Area</vt:lpstr>
      <vt:lpstr>'DRS 42486 - 202002'!Print_Area</vt:lpstr>
      <vt:lpstr>'DRS 42486 - 202003'!Print_Area</vt:lpstr>
      <vt:lpstr>'DRS 42486 - 202004'!Print_Area</vt:lpstr>
      <vt:lpstr>'DRS 42486 - 202005'!Print_Area</vt:lpstr>
      <vt:lpstr>'DRS 42486 - 202006'!Print_Area</vt:lpstr>
      <vt:lpstr>'DRS 42486 - 202007'!Print_Area</vt:lpstr>
      <vt:lpstr>'DRS 42486 - 202008'!Print_Area</vt:lpstr>
      <vt:lpstr>'DRS 42486 - 202009'!Print_Area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2020-09-29T21:55:10Z</cp:lastPrinted>
  <dcterms:created xsi:type="dcterms:W3CDTF">2012-07-23T22:14:11Z</dcterms:created>
  <dcterms:modified xsi:type="dcterms:W3CDTF">2022-11-08T20:40:42Z</dcterms:modified>
</cp:coreProperties>
</file>