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ersonal Folders\Seggerman_Scott\DRS 42486\"/>
    </mc:Choice>
  </mc:AlternateContent>
  <bookViews>
    <workbookView xWindow="3300" yWindow="2520" windowWidth="15600" windowHeight="7830" firstSheet="6" activeTab="10"/>
  </bookViews>
  <sheets>
    <sheet name="DRS 42486 - 201510" sheetId="1" r:id="rId1"/>
    <sheet name="DRS 42486 - 201511" sheetId="9" r:id="rId2"/>
    <sheet name="DRS 42486 - 201512" sheetId="6" r:id="rId3"/>
    <sheet name="DRS 42486 - 201601" sheetId="5" r:id="rId4"/>
    <sheet name="DRS 42486 - 201602" sheetId="7" r:id="rId5"/>
    <sheet name="DRS 42486 - 201603" sheetId="4" r:id="rId6"/>
    <sheet name="DRS 42486 - 201605" sheetId="8" r:id="rId7"/>
    <sheet name="DRS 42486 - 201606" sheetId="10" r:id="rId8"/>
    <sheet name="DRS 42486 - 201607" sheetId="3" r:id="rId9"/>
    <sheet name="DRS 42486 - 201608" sheetId="2" r:id="rId10"/>
    <sheet name="DRS 42486 - 201609" sheetId="11" r:id="rId11"/>
  </sheets>
  <definedNames>
    <definedName name="_xlnm.Print_Area" localSheetId="0">'DRS 42486 - 201510'!$A$1:$J$39</definedName>
    <definedName name="_xlnm.Print_Area" localSheetId="1">'DRS 42486 - 201511'!$A$1:$J$39</definedName>
    <definedName name="_xlnm.Print_Area" localSheetId="2">'DRS 42486 - 201512'!$A$1:$J$39</definedName>
    <definedName name="_xlnm.Print_Area" localSheetId="3">'DRS 42486 - 201601'!$A$1:$J$39</definedName>
    <definedName name="_xlnm.Print_Area" localSheetId="4">'DRS 42486 - 201602'!$A$1:$J$39</definedName>
    <definedName name="_xlnm.Print_Area" localSheetId="5">'DRS 42486 - 201603'!$A$1:$J$39</definedName>
    <definedName name="_xlnm.Print_Area" localSheetId="6">'DRS 42486 - 201605'!$A$1:$J$39</definedName>
    <definedName name="_xlnm.Print_Area" localSheetId="7">'DRS 42486 - 201606'!$A$1:$J$39</definedName>
    <definedName name="_xlnm.Print_Area" localSheetId="8">'DRS 42486 - 201607'!$A$1:$J$39</definedName>
    <definedName name="_xlnm.Print_Area" localSheetId="9">'DRS 42486 - 201608'!$A$1:$J$39</definedName>
    <definedName name="_xlnm.Print_Area" localSheetId="10">'DRS 42486 - 201609'!$A$1:$J$38</definedName>
  </definedNames>
  <calcPr calcId="152511"/>
</workbook>
</file>

<file path=xl/calcChain.xml><?xml version="1.0" encoding="utf-8"?>
<calcChain xmlns="http://schemas.openxmlformats.org/spreadsheetml/2006/main">
  <c r="B24" i="11" l="1"/>
  <c r="C24" i="11"/>
  <c r="D24" i="11"/>
  <c r="D37" i="11" s="1"/>
  <c r="E24" i="11"/>
  <c r="E37" i="11" s="1"/>
  <c r="F24" i="11"/>
  <c r="G24" i="11"/>
  <c r="H24" i="11"/>
  <c r="H37" i="11" s="1"/>
  <c r="I24" i="11"/>
  <c r="I37" i="11" s="1"/>
  <c r="J24" i="11"/>
  <c r="B36" i="11"/>
  <c r="C36" i="11"/>
  <c r="D36" i="11"/>
  <c r="E36" i="11"/>
  <c r="F36" i="11"/>
  <c r="G36" i="11"/>
  <c r="H36" i="11"/>
  <c r="I36" i="11"/>
  <c r="J36" i="11"/>
  <c r="B37" i="11"/>
  <c r="C37" i="11"/>
  <c r="F37" i="11"/>
  <c r="G37" i="11"/>
  <c r="J37" i="11"/>
  <c r="B24" i="10"/>
  <c r="C24" i="10"/>
  <c r="D24" i="10"/>
  <c r="D37" i="10" s="1"/>
  <c r="E24" i="10"/>
  <c r="E37" i="10" s="1"/>
  <c r="F24" i="10"/>
  <c r="G24" i="10"/>
  <c r="H24" i="10"/>
  <c r="H37" i="10" s="1"/>
  <c r="I24" i="10"/>
  <c r="I37" i="10" s="1"/>
  <c r="J24" i="10"/>
  <c r="B36" i="10"/>
  <c r="C36" i="10"/>
  <c r="D36" i="10"/>
  <c r="E36" i="10"/>
  <c r="F36" i="10"/>
  <c r="G36" i="10"/>
  <c r="H36" i="10"/>
  <c r="I36" i="10"/>
  <c r="J36" i="10"/>
  <c r="B37" i="10"/>
  <c r="C37" i="10"/>
  <c r="F37" i="10"/>
  <c r="G37" i="10"/>
  <c r="J37" i="10"/>
  <c r="B24" i="9"/>
  <c r="C24" i="9"/>
  <c r="D24" i="9"/>
  <c r="E24" i="9"/>
  <c r="E37" i="9" s="1"/>
  <c r="F24" i="9"/>
  <c r="G24" i="9"/>
  <c r="H24" i="9"/>
  <c r="I24" i="9"/>
  <c r="I37" i="9" s="1"/>
  <c r="J24" i="9"/>
  <c r="B36" i="9"/>
  <c r="B37" i="9" s="1"/>
  <c r="C36" i="9"/>
  <c r="D36" i="9"/>
  <c r="D37" i="9" s="1"/>
  <c r="E36" i="9"/>
  <c r="F36" i="9"/>
  <c r="G36" i="9"/>
  <c r="H36" i="9"/>
  <c r="H37" i="9" s="1"/>
  <c r="I36" i="9"/>
  <c r="J36" i="9"/>
  <c r="C37" i="9"/>
  <c r="F37" i="9"/>
  <c r="G37" i="9"/>
  <c r="J37" i="9"/>
  <c r="G37" i="8"/>
  <c r="C37" i="8"/>
  <c r="J36" i="8"/>
  <c r="I36" i="8"/>
  <c r="H36" i="8"/>
  <c r="H37" i="8" s="1"/>
  <c r="G36" i="8"/>
  <c r="F36" i="8"/>
  <c r="E36" i="8"/>
  <c r="D36" i="8"/>
  <c r="D37" i="8" s="1"/>
  <c r="C36" i="8"/>
  <c r="B36" i="8"/>
  <c r="J24" i="8"/>
  <c r="J37" i="8" s="1"/>
  <c r="I24" i="8"/>
  <c r="I37" i="8" s="1"/>
  <c r="H24" i="8"/>
  <c r="G24" i="8"/>
  <c r="F24" i="8"/>
  <c r="F37" i="8" s="1"/>
  <c r="E24" i="8"/>
  <c r="E37" i="8" s="1"/>
  <c r="D24" i="8"/>
  <c r="C24" i="8"/>
  <c r="B24" i="8"/>
  <c r="B37" i="8" s="1"/>
  <c r="G37" i="7"/>
  <c r="C37" i="7"/>
  <c r="J36" i="7"/>
  <c r="I36" i="7"/>
  <c r="H36" i="7"/>
  <c r="H37" i="7" s="1"/>
  <c r="G36" i="7"/>
  <c r="F36" i="7"/>
  <c r="E36" i="7"/>
  <c r="D36" i="7"/>
  <c r="D37" i="7" s="1"/>
  <c r="C36" i="7"/>
  <c r="B36" i="7"/>
  <c r="J24" i="7"/>
  <c r="J37" i="7" s="1"/>
  <c r="I24" i="7"/>
  <c r="I37" i="7" s="1"/>
  <c r="H24" i="7"/>
  <c r="G24" i="7"/>
  <c r="F24" i="7"/>
  <c r="F37" i="7" s="1"/>
  <c r="E24" i="7"/>
  <c r="E37" i="7" s="1"/>
  <c r="D24" i="7"/>
  <c r="C24" i="7"/>
  <c r="B24" i="7"/>
  <c r="B37" i="7" s="1"/>
  <c r="G37" i="6"/>
  <c r="C37" i="6"/>
  <c r="J36" i="6"/>
  <c r="I36" i="6"/>
  <c r="H36" i="6"/>
  <c r="H37" i="6" s="1"/>
  <c r="G36" i="6"/>
  <c r="F36" i="6"/>
  <c r="E36" i="6"/>
  <c r="D36" i="6"/>
  <c r="D37" i="6" s="1"/>
  <c r="C36" i="6"/>
  <c r="B36" i="6"/>
  <c r="J24" i="6"/>
  <c r="J37" i="6" s="1"/>
  <c r="I24" i="6"/>
  <c r="I37" i="6" s="1"/>
  <c r="H24" i="6"/>
  <c r="G24" i="6"/>
  <c r="F24" i="6"/>
  <c r="F37" i="6" s="1"/>
  <c r="E24" i="6"/>
  <c r="E37" i="6" s="1"/>
  <c r="D24" i="6"/>
  <c r="C24" i="6"/>
  <c r="B24" i="6"/>
  <c r="B37" i="6" s="1"/>
  <c r="G37" i="5"/>
  <c r="C37" i="5"/>
  <c r="J36" i="5"/>
  <c r="I36" i="5"/>
  <c r="H36" i="5"/>
  <c r="H37" i="5" s="1"/>
  <c r="G36" i="5"/>
  <c r="F36" i="5"/>
  <c r="E36" i="5"/>
  <c r="D36" i="5"/>
  <c r="D37" i="5" s="1"/>
  <c r="C36" i="5"/>
  <c r="B36" i="5"/>
  <c r="J24" i="5"/>
  <c r="J37" i="5" s="1"/>
  <c r="I24" i="5"/>
  <c r="I37" i="5" s="1"/>
  <c r="H24" i="5"/>
  <c r="G24" i="5"/>
  <c r="F24" i="5"/>
  <c r="F37" i="5" s="1"/>
  <c r="E24" i="5"/>
  <c r="E37" i="5" s="1"/>
  <c r="D24" i="5"/>
  <c r="C24" i="5"/>
  <c r="B24" i="5"/>
  <c r="B37" i="5" s="1"/>
  <c r="G37" i="4"/>
  <c r="C37" i="4"/>
  <c r="J36" i="4"/>
  <c r="I36" i="4"/>
  <c r="H36" i="4"/>
  <c r="H37" i="4" s="1"/>
  <c r="G36" i="4"/>
  <c r="F36" i="4"/>
  <c r="E36" i="4"/>
  <c r="D36" i="4"/>
  <c r="D37" i="4" s="1"/>
  <c r="C36" i="4"/>
  <c r="B36" i="4"/>
  <c r="J24" i="4"/>
  <c r="J37" i="4" s="1"/>
  <c r="I24" i="4"/>
  <c r="I37" i="4" s="1"/>
  <c r="H24" i="4"/>
  <c r="G24" i="4"/>
  <c r="F24" i="4"/>
  <c r="F37" i="4" s="1"/>
  <c r="E24" i="4"/>
  <c r="E37" i="4" s="1"/>
  <c r="D24" i="4"/>
  <c r="C24" i="4"/>
  <c r="B24" i="4"/>
  <c r="B37" i="4" s="1"/>
  <c r="G37" i="3"/>
  <c r="C37" i="3"/>
  <c r="J36" i="3"/>
  <c r="I36" i="3"/>
  <c r="H36" i="3"/>
  <c r="H37" i="3" s="1"/>
  <c r="G36" i="3"/>
  <c r="F36" i="3"/>
  <c r="E36" i="3"/>
  <c r="D36" i="3"/>
  <c r="D37" i="3" s="1"/>
  <c r="C36" i="3"/>
  <c r="B36" i="3"/>
  <c r="J24" i="3"/>
  <c r="J37" i="3" s="1"/>
  <c r="I24" i="3"/>
  <c r="I37" i="3" s="1"/>
  <c r="H24" i="3"/>
  <c r="G24" i="3"/>
  <c r="F24" i="3"/>
  <c r="F37" i="3" s="1"/>
  <c r="E24" i="3"/>
  <c r="E37" i="3" s="1"/>
  <c r="D24" i="3"/>
  <c r="C24" i="3"/>
  <c r="B24" i="3"/>
  <c r="B37" i="3" s="1"/>
  <c r="J37" i="2"/>
  <c r="F37" i="2"/>
  <c r="B37" i="2"/>
  <c r="J36" i="2"/>
  <c r="I36" i="2"/>
  <c r="H36" i="2"/>
  <c r="G36" i="2"/>
  <c r="G37" i="2" s="1"/>
  <c r="F36" i="2"/>
  <c r="E36" i="2"/>
  <c r="D36" i="2"/>
  <c r="C36" i="2"/>
  <c r="C37" i="2" s="1"/>
  <c r="B36" i="2"/>
  <c r="J24" i="2"/>
  <c r="I24" i="2"/>
  <c r="I37" i="2" s="1"/>
  <c r="H24" i="2"/>
  <c r="H37" i="2" s="1"/>
  <c r="G24" i="2"/>
  <c r="F24" i="2"/>
  <c r="E24" i="2"/>
  <c r="E37" i="2" s="1"/>
  <c r="D24" i="2"/>
  <c r="D37" i="2" s="1"/>
  <c r="C24" i="2"/>
  <c r="B24" i="2"/>
  <c r="C36" i="1" l="1"/>
  <c r="D36" i="1"/>
  <c r="E36" i="1"/>
  <c r="F36" i="1"/>
  <c r="G36" i="1"/>
  <c r="H36" i="1"/>
  <c r="I36" i="1"/>
  <c r="J36" i="1"/>
  <c r="B36" i="1"/>
  <c r="C24" i="1"/>
  <c r="D24" i="1"/>
  <c r="E24" i="1"/>
  <c r="F24" i="1"/>
  <c r="G24" i="1"/>
  <c r="H24" i="1"/>
  <c r="I24" i="1"/>
  <c r="B24" i="1"/>
  <c r="I37" i="1" l="1"/>
  <c r="J24" i="1" l="1"/>
  <c r="E37" i="1" l="1"/>
  <c r="F37" i="1"/>
  <c r="J37" i="1" l="1"/>
  <c r="H37" i="1" l="1"/>
  <c r="C37" i="1" l="1"/>
  <c r="D37" i="1"/>
  <c r="G37" i="1"/>
  <c r="B37" i="1" l="1"/>
</calcChain>
</file>

<file path=xl/sharedStrings.xml><?xml version="1.0" encoding="utf-8"?>
<sst xmlns="http://schemas.openxmlformats.org/spreadsheetml/2006/main" count="473" uniqueCount="54">
  <si>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</si>
  <si>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</si>
  <si>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</si>
  <si>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</si>
  <si>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</si>
  <si>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</si>
  <si>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</si>
  <si>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</si>
  <si>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</si>
  <si>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</si>
  <si>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</si>
  <si>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</si>
  <si>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</si>
  <si>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</si>
  <si>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</si>
  <si>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</si>
  <si>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</si>
  <si>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</si>
  <si>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</si>
  <si>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</si>
  <si>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</si>
  <si>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</si>
  <si>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</si>
  <si>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</si>
  <si>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</si>
  <si>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</si>
  <si>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</si>
  <si>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</si>
  <si>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</si>
  <si>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</si>
  <si>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</si>
  <si>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</si>
  <si>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</si>
  <si>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</si>
  <si>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</si>
  <si>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</si>
  <si>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</si>
  <si>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TOTAL</t>
  </si>
  <si>
    <t xml:space="preserve"> </t>
  </si>
  <si>
    <t>Coast Guard Reserve</t>
  </si>
  <si>
    <t xml:space="preserve"> October 31, 2015</t>
  </si>
  <si>
    <t>OFFICER UNKNOWN GRADE</t>
  </si>
  <si>
    <t>ENLISTED UNKNOWN GRADE</t>
  </si>
  <si>
    <t xml:space="preserve"> August 31, 2016</t>
  </si>
  <si>
    <t xml:space="preserve"> July 31, 2016</t>
  </si>
  <si>
    <t xml:space="preserve"> March 31, 2016</t>
  </si>
  <si>
    <t>ENLSITED UNKNOWN GRADE</t>
  </si>
  <si>
    <t xml:space="preserve"> January 31, 2016</t>
  </si>
  <si>
    <t xml:space="preserve"> December 31, 2015</t>
  </si>
  <si>
    <t xml:space="preserve"> February 29, 2016</t>
  </si>
  <si>
    <t xml:space="preserve"> May 31, 2016</t>
  </si>
  <si>
    <t xml:space="preserve"> November 30, 2015</t>
  </si>
  <si>
    <t xml:space="preserve"> June 30, 2016</t>
  </si>
  <si>
    <t xml:space="preserve"> September 30,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</si>
</sst>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65">
    <xf numFmtId="0" fontId="0" fillId="0" borderId="0" xfId="0"/>
    <xf numFmtId="0" fontId="1" fillId="0" borderId="0" xfId="0" applyFont="1"/>
    <xf numFmtId="3" fontId="0" fillId="0" borderId="1" xfId="0" applyNumberFormat="1" applyBorder="1"/>
    <xf numFmtId="0" fontId="0" fillId="0" borderId="0" xfId="0" applyAlignment="1">
      <alignment vertical="center"/>
    </xf>
    <xf numFmtId="3" fontId="0" fillId="0" borderId="12" xfId="0" applyNumberFormat="1" applyBorder="1"/>
    <xf numFmtId="3" fontId="0" fillId="0" borderId="18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4" xfId="0" applyNumberFormat="1" applyBorder="1"/>
    <xf numFmtId="3" fontId="0" fillId="0" borderId="17" xfId="0" applyNumberFormat="1" applyBorder="1"/>
    <xf numFmtId="0" fontId="27" fillId="0" borderId="20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8" xfId="0" applyFont="1" applyBorder="1" applyAlignment="1">
      <alignment horizontal="center" wrapText="1"/>
    </xf>
    <xf numFmtId="0" fontId="30" fillId="0" borderId="27" xfId="0" applyFont="1" applyFill="1" applyBorder="1" applyAlignment="1">
      <alignment horizontal="center" wrapText="1"/>
    </xf>
    <xf numFmtId="0" fontId="30" fillId="0" borderId="36" xfId="0" applyFont="1" applyBorder="1" applyAlignment="1">
      <alignment vertical="center" wrapText="1"/>
    </xf>
    <xf numFmtId="0" fontId="30" fillId="0" borderId="37" xfId="0" applyFont="1" applyBorder="1" applyAlignment="1">
      <alignment horizontal="center" wrapText="1"/>
    </xf>
    <xf numFmtId="0" fontId="26" fillId="0" borderId="36" xfId="0" applyFont="1" applyBorder="1"/>
    <xf numFmtId="3" fontId="0" fillId="0" borderId="38" xfId="0" applyNumberFormat="1" applyFill="1" applyBorder="1"/>
    <xf numFmtId="0" fontId="27" fillId="0" borderId="36" xfId="0" applyFont="1" applyBorder="1"/>
    <xf numFmtId="3" fontId="0" fillId="0" borderId="39" xfId="0" applyNumberFormat="1" applyBorder="1"/>
    <xf numFmtId="0" fontId="27" fillId="0" borderId="40" xfId="0" applyFont="1" applyBorder="1"/>
    <xf numFmtId="3" fontId="0" fillId="0" borderId="38" xfId="0" applyNumberFormat="1" applyBorder="1"/>
    <xf numFmtId="0" fontId="30" fillId="0" borderId="28" xfId="0" applyFont="1" applyFill="1" applyBorder="1" applyAlignment="1">
      <alignment horizontal="center" wrapText="1"/>
    </xf>
    <xf numFmtId="3" fontId="0" fillId="0" borderId="24" xfId="0" applyNumberFormat="1" applyBorder="1"/>
    <xf numFmtId="3" fontId="0" fillId="0" borderId="1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0" fontId="30" fillId="0" borderId="45" xfId="0" applyFont="1" applyFill="1" applyBorder="1" applyAlignment="1">
      <alignment horizontal="center" wrapText="1"/>
    </xf>
    <xf numFmtId="3" fontId="1" fillId="2" borderId="25" xfId="0" applyNumberFormat="1" applyFont="1" applyFill="1" applyBorder="1"/>
    <xf numFmtId="0" fontId="30" fillId="2" borderId="43" xfId="0" applyFont="1" applyFill="1" applyBorder="1" applyAlignment="1">
      <alignment horizontal="center" wrapText="1"/>
    </xf>
    <xf numFmtId="3" fontId="1" fillId="2" borderId="46" xfId="0" applyNumberFormat="1" applyFont="1" applyFill="1" applyBorder="1"/>
    <xf numFmtId="3" fontId="1" fillId="2" borderId="47" xfId="0" applyNumberFormat="1" applyFont="1" applyFill="1" applyBorder="1"/>
    <xf numFmtId="3" fontId="1" fillId="2" borderId="19" xfId="0" applyNumberFormat="1" applyFont="1" applyFill="1" applyBorder="1"/>
    <xf numFmtId="3" fontId="1" fillId="2" borderId="26" xfId="0" applyNumberFormat="1" applyFont="1" applyFill="1" applyBorder="1"/>
    <xf numFmtId="3" fontId="1" fillId="2" borderId="41" xfId="0" applyNumberFormat="1" applyFont="1" applyFill="1" applyBorder="1"/>
    <xf numFmtId="3" fontId="1" fillId="34" borderId="21" xfId="0" applyNumberFormat="1" applyFont="1" applyFill="1" applyBorder="1" applyAlignment="1">
      <alignment vertical="center"/>
    </xf>
    <xf numFmtId="3" fontId="1" fillId="34" borderId="44" xfId="0" applyNumberFormat="1" applyFont="1" applyFill="1" applyBorder="1" applyAlignment="1">
      <alignment vertical="center"/>
    </xf>
    <xf numFmtId="3" fontId="1" fillId="34" borderId="42" xfId="0" applyNumberFormat="1" applyFont="1" applyFill="1" applyBorder="1" applyAlignment="1">
      <alignment vertical="center"/>
    </xf>
    <xf numFmtId="3" fontId="1" fillId="34" borderId="48" xfId="0" applyNumberFormat="1" applyFont="1" applyFill="1" applyBorder="1" applyAlignment="1">
      <alignment vertical="center"/>
    </xf>
    <xf numFmtId="3" fontId="1" fillId="2" borderId="37" xfId="0" applyNumberFormat="1" applyFont="1" applyFill="1" applyBorder="1"/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15" fontId="29" fillId="0" borderId="32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33" xfId="0" quotePrefix="1" applyNumberFormat="1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26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  <xf numFmtId="0" fontId="0" fillId="0" borderId="49" xfId="0" applyBorder="1" applyAlignment="1">
      <alignment horizontal="right" wrapText="1"/>
    </xf>
    <xf numFmtId="3" fontId="0" fillId="0" borderId="49" xfId="0" applyNumberFormat="1" applyBorder="1" applyAlignment="1">
      <alignment horizontal="right" wrapText="1"/>
    </xf>
    <xf numFmtId="3" fontId="1" fillId="34" borderId="50" xfId="0" applyNumberFormat="1" applyFont="1" applyFill="1" applyBorder="1" applyAlignment="1">
      <alignment vertical="center"/>
    </xf>
    <xf numFmtId="3" fontId="0" fillId="0" borderId="51" xfId="0" applyNumberFormat="1" applyBorder="1"/>
    <xf numFmtId="3" fontId="1" fillId="2" borderId="52" xfId="0" applyNumberFormat="1" applyFont="1" applyFill="1" applyBorder="1"/>
    <xf numFmtId="3" fontId="0" fillId="0" borderId="0" xfId="0" applyNumberFormat="1" applyBorder="1"/>
    <xf numFmtId="3" fontId="1" fillId="2" borderId="53" xfId="0" applyNumberFormat="1" applyFont="1" applyFill="1" applyBorder="1"/>
    <xf numFmtId="3" fontId="0" fillId="0" borderId="54" xfId="0" applyNumberFormat="1" applyBorder="1"/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40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5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2</v>
      </c>
      <c r="C8" s="2">
        <v>0</v>
      </c>
      <c r="D8" s="2">
        <v>0</v>
      </c>
      <c r="E8" s="2">
        <v>1</v>
      </c>
      <c r="F8" s="2">
        <v>3</v>
      </c>
      <c r="G8" s="26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4">
        <v>63</v>
      </c>
      <c r="C9" s="2">
        <v>35</v>
      </c>
      <c r="D9" s="2">
        <v>18</v>
      </c>
      <c r="E9" s="2">
        <v>4</v>
      </c>
      <c r="F9" s="2">
        <v>45</v>
      </c>
      <c r="G9" s="26">
        <v>25</v>
      </c>
      <c r="H9" s="32">
        <v>190</v>
      </c>
      <c r="I9" s="4">
        <v>0</v>
      </c>
      <c r="J9" s="19">
        <v>190</v>
      </c>
    </row>
    <row r="10" spans="1:10" x14ac:dyDescent="0.25">
      <c r="A10" s="18" t="s">
        <v>4</v>
      </c>
      <c r="B10" s="4">
        <v>150</v>
      </c>
      <c r="C10" s="2">
        <v>75</v>
      </c>
      <c r="D10" s="2">
        <v>25</v>
      </c>
      <c r="E10" s="2">
        <v>6</v>
      </c>
      <c r="F10" s="2">
        <v>105</v>
      </c>
      <c r="G10" s="26">
        <v>54</v>
      </c>
      <c r="H10" s="32">
        <v>415</v>
      </c>
      <c r="I10" s="4">
        <v>1</v>
      </c>
      <c r="J10" s="19">
        <v>416</v>
      </c>
    </row>
    <row r="11" spans="1:10" x14ac:dyDescent="0.25">
      <c r="A11" s="18" t="s">
        <v>5</v>
      </c>
      <c r="B11" s="4">
        <v>1452</v>
      </c>
      <c r="C11" s="2">
        <v>1840</v>
      </c>
      <c r="D11" s="2">
        <v>1290</v>
      </c>
      <c r="E11" s="2">
        <v>309</v>
      </c>
      <c r="F11" s="2">
        <v>994</v>
      </c>
      <c r="G11" s="26">
        <v>1075</v>
      </c>
      <c r="H11" s="32">
        <v>6960</v>
      </c>
      <c r="I11" s="4">
        <v>38</v>
      </c>
      <c r="J11" s="19">
        <v>6998</v>
      </c>
    </row>
    <row r="12" spans="1:10" x14ac:dyDescent="0.25">
      <c r="A12" s="18" t="s">
        <v>6</v>
      </c>
      <c r="B12" s="4">
        <v>3609</v>
      </c>
      <c r="C12" s="2">
        <v>5393</v>
      </c>
      <c r="D12" s="2">
        <v>3249</v>
      </c>
      <c r="E12" s="2">
        <v>788</v>
      </c>
      <c r="F12" s="2">
        <v>3883</v>
      </c>
      <c r="G12" s="26">
        <v>4039</v>
      </c>
      <c r="H12" s="32">
        <v>20961</v>
      </c>
      <c r="I12" s="4">
        <v>153</v>
      </c>
      <c r="J12" s="19">
        <v>21114</v>
      </c>
    </row>
    <row r="13" spans="1:10" x14ac:dyDescent="0.25">
      <c r="A13" s="18" t="s">
        <v>7</v>
      </c>
      <c r="B13" s="4">
        <v>6420</v>
      </c>
      <c r="C13" s="2">
        <v>6761</v>
      </c>
      <c r="D13" s="2">
        <v>4666</v>
      </c>
      <c r="E13" s="2">
        <v>1206</v>
      </c>
      <c r="F13" s="2">
        <v>4286</v>
      </c>
      <c r="G13" s="26">
        <v>5021</v>
      </c>
      <c r="H13" s="32">
        <v>28360</v>
      </c>
      <c r="I13" s="4">
        <v>294</v>
      </c>
      <c r="J13" s="19">
        <v>28654</v>
      </c>
    </row>
    <row r="14" spans="1:10" x14ac:dyDescent="0.25">
      <c r="A14" s="18" t="s">
        <v>8</v>
      </c>
      <c r="B14" s="4">
        <v>10873</v>
      </c>
      <c r="C14" s="2">
        <v>11084</v>
      </c>
      <c r="D14" s="2">
        <v>3958</v>
      </c>
      <c r="E14" s="2">
        <v>1156</v>
      </c>
      <c r="F14" s="2">
        <v>3556</v>
      </c>
      <c r="G14" s="26">
        <v>2846</v>
      </c>
      <c r="H14" s="32">
        <v>33473</v>
      </c>
      <c r="I14" s="4">
        <v>408</v>
      </c>
      <c r="J14" s="19">
        <v>33881</v>
      </c>
    </row>
    <row r="15" spans="1:10" x14ac:dyDescent="0.25">
      <c r="A15" s="18" t="s">
        <v>9</v>
      </c>
      <c r="B15" s="4">
        <v>9090</v>
      </c>
      <c r="C15" s="2">
        <v>5551</v>
      </c>
      <c r="D15" s="2">
        <v>738</v>
      </c>
      <c r="E15" s="2">
        <v>262</v>
      </c>
      <c r="F15" s="2">
        <v>1106</v>
      </c>
      <c r="G15" s="26">
        <v>498</v>
      </c>
      <c r="H15" s="32">
        <v>17245</v>
      </c>
      <c r="I15" s="4">
        <v>75</v>
      </c>
      <c r="J15" s="19">
        <v>17320</v>
      </c>
    </row>
    <row r="16" spans="1:10" x14ac:dyDescent="0.25">
      <c r="A16" s="18" t="s">
        <v>10</v>
      </c>
      <c r="B16" s="4">
        <v>5370</v>
      </c>
      <c r="C16" s="2">
        <v>2622</v>
      </c>
      <c r="D16" s="2">
        <v>466</v>
      </c>
      <c r="E16" s="2">
        <v>248</v>
      </c>
      <c r="F16" s="2">
        <v>1144</v>
      </c>
      <c r="G16" s="26">
        <v>366</v>
      </c>
      <c r="H16" s="32">
        <v>10216</v>
      </c>
      <c r="I16" s="4">
        <v>54</v>
      </c>
      <c r="J16" s="19">
        <v>10270</v>
      </c>
    </row>
    <row r="17" spans="1:10" x14ac:dyDescent="0.25">
      <c r="A17" s="18" t="s">
        <v>11</v>
      </c>
      <c r="B17" s="4">
        <v>372</v>
      </c>
      <c r="C17" s="2">
        <v>106</v>
      </c>
      <c r="D17" s="2">
        <v>3</v>
      </c>
      <c r="E17" s="2">
        <v>12</v>
      </c>
      <c r="F17" s="2">
        <v>0</v>
      </c>
      <c r="G17" s="26">
        <v>0</v>
      </c>
      <c r="H17" s="32">
        <v>493</v>
      </c>
      <c r="I17" s="4">
        <v>0</v>
      </c>
      <c r="J17" s="19">
        <v>493</v>
      </c>
    </row>
    <row r="18" spans="1:10" x14ac:dyDescent="0.25">
      <c r="A18" s="18" t="s">
        <v>12</v>
      </c>
      <c r="B18" s="4">
        <v>1433</v>
      </c>
      <c r="C18" s="2">
        <v>515</v>
      </c>
      <c r="D18" s="2">
        <v>15</v>
      </c>
      <c r="E18" s="2">
        <v>42</v>
      </c>
      <c r="F18" s="2">
        <v>0</v>
      </c>
      <c r="G18" s="26">
        <v>0</v>
      </c>
      <c r="H18" s="32">
        <v>2005</v>
      </c>
      <c r="I18" s="4">
        <v>25</v>
      </c>
      <c r="J18" s="19">
        <v>2030</v>
      </c>
    </row>
    <row r="19" spans="1:10" x14ac:dyDescent="0.25">
      <c r="A19" s="18" t="s">
        <v>13</v>
      </c>
      <c r="B19" s="4">
        <v>2061</v>
      </c>
      <c r="C19" s="2">
        <v>890</v>
      </c>
      <c r="D19" s="2">
        <v>42</v>
      </c>
      <c r="E19" s="2">
        <v>71</v>
      </c>
      <c r="F19" s="2">
        <v>0</v>
      </c>
      <c r="G19" s="26">
        <v>0</v>
      </c>
      <c r="H19" s="32">
        <v>3064</v>
      </c>
      <c r="I19" s="4">
        <v>55</v>
      </c>
      <c r="J19" s="19">
        <v>3119</v>
      </c>
    </row>
    <row r="20" spans="1:10" x14ac:dyDescent="0.25">
      <c r="A20" s="18" t="s">
        <v>14</v>
      </c>
      <c r="B20" s="4">
        <v>3561</v>
      </c>
      <c r="C20" s="2">
        <v>1396</v>
      </c>
      <c r="D20" s="2">
        <v>23</v>
      </c>
      <c r="E20" s="2">
        <v>103</v>
      </c>
      <c r="F20" s="2">
        <v>0</v>
      </c>
      <c r="G20" s="26">
        <v>0</v>
      </c>
      <c r="H20" s="32">
        <v>5083</v>
      </c>
      <c r="I20" s="4">
        <v>57</v>
      </c>
      <c r="J20" s="19">
        <v>5140</v>
      </c>
    </row>
    <row r="21" spans="1:10" x14ac:dyDescent="0.25">
      <c r="A21" s="18" t="s">
        <v>15</v>
      </c>
      <c r="B21" s="4">
        <v>1212</v>
      </c>
      <c r="C21" s="2">
        <v>414</v>
      </c>
      <c r="D21" s="2">
        <v>0</v>
      </c>
      <c r="E21" s="2">
        <v>14</v>
      </c>
      <c r="F21" s="2">
        <v>0</v>
      </c>
      <c r="G21" s="26">
        <v>0</v>
      </c>
      <c r="H21" s="32">
        <v>1640</v>
      </c>
      <c r="I21" s="4">
        <v>0</v>
      </c>
      <c r="J21" s="19">
        <v>1640</v>
      </c>
    </row>
    <row r="22" spans="1:10" x14ac:dyDescent="0.25">
      <c r="A22" s="18" t="s">
        <v>41</v>
      </c>
      <c r="B22" s="4">
        <v>1</v>
      </c>
      <c r="C22" s="2">
        <v>0</v>
      </c>
      <c r="D22" s="2">
        <v>0</v>
      </c>
      <c r="E22" s="2">
        <v>0</v>
      </c>
      <c r="F22" s="2">
        <v>0</v>
      </c>
      <c r="G22" s="26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45670</v>
      </c>
      <c r="C24" s="34">
        <f t="shared" ref="C24:I24" si="0">SUM(C7:C22)</f>
        <v>36682</v>
      </c>
      <c r="D24" s="34">
        <f t="shared" si="0"/>
        <v>14493</v>
      </c>
      <c r="E24" s="34">
        <f t="shared" si="0"/>
        <v>4222</v>
      </c>
      <c r="F24" s="34">
        <f t="shared" si="0"/>
        <v>15122</v>
      </c>
      <c r="G24" s="35">
        <f t="shared" si="0"/>
        <v>13924</v>
      </c>
      <c r="H24" s="30">
        <f t="shared" si="0"/>
        <v>130113</v>
      </c>
      <c r="I24" s="34">
        <f t="shared" si="0"/>
        <v>1160</v>
      </c>
      <c r="J24" s="36">
        <f>SUM(J7:J23)</f>
        <v>131273</v>
      </c>
    </row>
    <row r="25" spans="1:10" x14ac:dyDescent="0.25">
      <c r="A25" s="18" t="s">
        <v>17</v>
      </c>
      <c r="B25" s="5">
        <v>2074</v>
      </c>
      <c r="C25" s="6">
        <v>1568</v>
      </c>
      <c r="D25" s="6">
        <v>362</v>
      </c>
      <c r="E25" s="6">
        <v>173</v>
      </c>
      <c r="F25" s="6">
        <v>1915</v>
      </c>
      <c r="G25" s="25">
        <v>942</v>
      </c>
      <c r="H25" s="32">
        <v>7034</v>
      </c>
      <c r="I25" s="5">
        <v>73</v>
      </c>
      <c r="J25" s="23">
        <v>7107</v>
      </c>
    </row>
    <row r="26" spans="1:10" x14ac:dyDescent="0.25">
      <c r="A26" s="18" t="s">
        <v>18</v>
      </c>
      <c r="B26" s="4">
        <v>7450</v>
      </c>
      <c r="C26" s="2">
        <v>5745</v>
      </c>
      <c r="D26" s="2">
        <v>900</v>
      </c>
      <c r="E26" s="2">
        <v>520</v>
      </c>
      <c r="F26" s="2">
        <v>4539</v>
      </c>
      <c r="G26" s="26">
        <v>2906</v>
      </c>
      <c r="H26" s="32">
        <v>22060</v>
      </c>
      <c r="I26" s="4">
        <v>109</v>
      </c>
      <c r="J26" s="23">
        <v>22169</v>
      </c>
    </row>
    <row r="27" spans="1:10" x14ac:dyDescent="0.25">
      <c r="A27" s="18" t="s">
        <v>19</v>
      </c>
      <c r="B27" s="4">
        <v>21778</v>
      </c>
      <c r="C27" s="2">
        <v>15027</v>
      </c>
      <c r="D27" s="2">
        <v>3682</v>
      </c>
      <c r="E27" s="2">
        <v>1049</v>
      </c>
      <c r="F27" s="2">
        <v>14756</v>
      </c>
      <c r="G27" s="26">
        <v>8379</v>
      </c>
      <c r="H27" s="32">
        <v>64671</v>
      </c>
      <c r="I27" s="4">
        <v>707</v>
      </c>
      <c r="J27" s="23">
        <v>65378</v>
      </c>
    </row>
    <row r="28" spans="1:10" x14ac:dyDescent="0.25">
      <c r="A28" s="18" t="s">
        <v>20</v>
      </c>
      <c r="B28" s="4">
        <v>39272</v>
      </c>
      <c r="C28" s="2">
        <v>19490</v>
      </c>
      <c r="D28" s="2">
        <v>10275</v>
      </c>
      <c r="E28" s="2">
        <v>2140</v>
      </c>
      <c r="F28" s="2">
        <v>18663</v>
      </c>
      <c r="G28" s="26">
        <v>12098</v>
      </c>
      <c r="H28" s="32">
        <v>101938</v>
      </c>
      <c r="I28" s="4">
        <v>1211</v>
      </c>
      <c r="J28" s="23">
        <v>103149</v>
      </c>
    </row>
    <row r="29" spans="1:10" x14ac:dyDescent="0.25">
      <c r="A29" s="18" t="s">
        <v>21</v>
      </c>
      <c r="B29" s="4">
        <v>64261</v>
      </c>
      <c r="C29" s="2">
        <v>32133</v>
      </c>
      <c r="D29" s="2">
        <v>13175</v>
      </c>
      <c r="E29" s="2">
        <v>4595</v>
      </c>
      <c r="F29" s="2">
        <v>19362</v>
      </c>
      <c r="G29" s="26">
        <v>10509</v>
      </c>
      <c r="H29" s="32">
        <v>144035</v>
      </c>
      <c r="I29" s="4">
        <v>1704</v>
      </c>
      <c r="J29" s="23">
        <v>145739</v>
      </c>
    </row>
    <row r="30" spans="1:10" x14ac:dyDescent="0.25">
      <c r="A30" s="18" t="s">
        <v>22</v>
      </c>
      <c r="B30" s="4">
        <v>92456</v>
      </c>
      <c r="C30" s="2">
        <v>55562</v>
      </c>
      <c r="D30" s="2">
        <v>7436</v>
      </c>
      <c r="E30" s="2">
        <v>6819</v>
      </c>
      <c r="F30" s="2">
        <v>16351</v>
      </c>
      <c r="G30" s="26">
        <v>14897</v>
      </c>
      <c r="H30" s="32">
        <v>193521</v>
      </c>
      <c r="I30" s="4">
        <v>1885</v>
      </c>
      <c r="J30" s="23">
        <v>195406</v>
      </c>
    </row>
    <row r="31" spans="1:10" x14ac:dyDescent="0.25">
      <c r="A31" s="18" t="s">
        <v>23</v>
      </c>
      <c r="B31" s="4">
        <v>39609</v>
      </c>
      <c r="C31" s="2">
        <v>17448</v>
      </c>
      <c r="D31" s="2">
        <v>4714</v>
      </c>
      <c r="E31" s="2">
        <v>14481</v>
      </c>
      <c r="F31" s="2">
        <v>13714</v>
      </c>
      <c r="G31" s="26">
        <v>3254</v>
      </c>
      <c r="H31" s="32">
        <v>93220</v>
      </c>
      <c r="I31" s="4">
        <v>148</v>
      </c>
      <c r="J31" s="23">
        <v>93368</v>
      </c>
    </row>
    <row r="32" spans="1:10" x14ac:dyDescent="0.25">
      <c r="A32" s="18" t="s">
        <v>24</v>
      </c>
      <c r="B32" s="4">
        <v>21569</v>
      </c>
      <c r="C32" s="2">
        <v>7410</v>
      </c>
      <c r="D32" s="2">
        <v>1168</v>
      </c>
      <c r="E32" s="2">
        <v>3110</v>
      </c>
      <c r="F32" s="2">
        <v>368</v>
      </c>
      <c r="G32" s="26">
        <v>705</v>
      </c>
      <c r="H32" s="32">
        <v>34330</v>
      </c>
      <c r="I32" s="4">
        <v>2</v>
      </c>
      <c r="J32" s="23">
        <v>34332</v>
      </c>
    </row>
    <row r="33" spans="1:10" x14ac:dyDescent="0.25">
      <c r="A33" s="18" t="s">
        <v>25</v>
      </c>
      <c r="B33" s="2">
        <v>14535</v>
      </c>
      <c r="C33" s="2">
        <v>7348</v>
      </c>
      <c r="D33" s="2">
        <v>772</v>
      </c>
      <c r="E33" s="2">
        <v>1754</v>
      </c>
      <c r="F33" s="2">
        <v>716</v>
      </c>
      <c r="G33" s="26">
        <v>766</v>
      </c>
      <c r="H33" s="32">
        <v>25891</v>
      </c>
      <c r="I33" s="4">
        <v>0</v>
      </c>
      <c r="J33" s="23">
        <v>25891</v>
      </c>
    </row>
    <row r="34" spans="1:10" x14ac:dyDescent="0.25">
      <c r="A34" s="18" t="s">
        <v>42</v>
      </c>
      <c r="B34" s="4">
        <v>0</v>
      </c>
      <c r="C34" s="2">
        <v>0</v>
      </c>
      <c r="D34" s="2">
        <v>0</v>
      </c>
      <c r="E34" s="2">
        <v>0</v>
      </c>
      <c r="F34" s="2">
        <v>0</v>
      </c>
      <c r="G34" s="26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303004</v>
      </c>
      <c r="C36" s="34">
        <f t="shared" ref="C36:J36" si="1">SUM(C25:C34)</f>
        <v>161731</v>
      </c>
      <c r="D36" s="34">
        <f t="shared" si="1"/>
        <v>42484</v>
      </c>
      <c r="E36" s="34">
        <f t="shared" si="1"/>
        <v>34641</v>
      </c>
      <c r="F36" s="34">
        <f t="shared" si="1"/>
        <v>90384</v>
      </c>
      <c r="G36" s="35">
        <f t="shared" si="1"/>
        <v>54456</v>
      </c>
      <c r="H36" s="30">
        <f t="shared" si="1"/>
        <v>686700</v>
      </c>
      <c r="I36" s="34">
        <f t="shared" si="1"/>
        <v>5839</v>
      </c>
      <c r="J36" s="41">
        <f t="shared" si="1"/>
        <v>692539</v>
      </c>
    </row>
    <row r="37" spans="1:10" ht="16.5" thickTop="1" thickBot="1" x14ac:dyDescent="0.3">
      <c r="A37" s="11" t="s">
        <v>27</v>
      </c>
      <c r="B37" s="37">
        <f t="shared" ref="B37:J37" si="2">SUM(B24,B36)</f>
        <v>348674</v>
      </c>
      <c r="C37" s="37">
        <f t="shared" si="2"/>
        <v>198413</v>
      </c>
      <c r="D37" s="37">
        <f t="shared" si="2"/>
        <v>56977</v>
      </c>
      <c r="E37" s="37">
        <f t="shared" si="2"/>
        <v>38863</v>
      </c>
      <c r="F37" s="37">
        <f t="shared" si="2"/>
        <v>105506</v>
      </c>
      <c r="G37" s="38">
        <f t="shared" si="2"/>
        <v>68380</v>
      </c>
      <c r="H37" s="40">
        <f t="shared" si="2"/>
        <v>816813</v>
      </c>
      <c r="I37" s="37">
        <f t="shared" si="2"/>
        <v>6999</v>
      </c>
      <c r="J37" s="39">
        <f t="shared" si="2"/>
        <v>823812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51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5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2</v>
      </c>
      <c r="C8" s="2">
        <v>0</v>
      </c>
      <c r="D8" s="2">
        <v>0</v>
      </c>
      <c r="E8" s="2">
        <v>1</v>
      </c>
      <c r="F8" s="2">
        <v>3</v>
      </c>
      <c r="G8" s="26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4">
        <v>62</v>
      </c>
      <c r="C9" s="2">
        <v>35</v>
      </c>
      <c r="D9" s="2">
        <v>18</v>
      </c>
      <c r="E9" s="2">
        <v>4</v>
      </c>
      <c r="F9" s="2">
        <v>47</v>
      </c>
      <c r="G9" s="26">
        <v>25</v>
      </c>
      <c r="H9" s="32">
        <v>191</v>
      </c>
      <c r="I9" s="4">
        <v>0</v>
      </c>
      <c r="J9" s="19">
        <v>191</v>
      </c>
    </row>
    <row r="10" spans="1:10" x14ac:dyDescent="0.25">
      <c r="A10" s="18" t="s">
        <v>4</v>
      </c>
      <c r="B10" s="4">
        <v>157</v>
      </c>
      <c r="C10" s="2">
        <v>75</v>
      </c>
      <c r="D10" s="2">
        <v>25</v>
      </c>
      <c r="E10" s="2">
        <v>6</v>
      </c>
      <c r="F10" s="2">
        <v>103</v>
      </c>
      <c r="G10" s="26">
        <v>54</v>
      </c>
      <c r="H10" s="32">
        <v>420</v>
      </c>
      <c r="I10" s="4">
        <v>1</v>
      </c>
      <c r="J10" s="19">
        <v>421</v>
      </c>
    </row>
    <row r="11" spans="1:10" x14ac:dyDescent="0.25">
      <c r="A11" s="18" t="s">
        <v>5</v>
      </c>
      <c r="B11" s="4">
        <v>1438</v>
      </c>
      <c r="C11" s="2">
        <v>1856</v>
      </c>
      <c r="D11" s="2">
        <v>1282</v>
      </c>
      <c r="E11" s="2">
        <v>309</v>
      </c>
      <c r="F11" s="2">
        <v>995</v>
      </c>
      <c r="G11" s="26">
        <v>1068</v>
      </c>
      <c r="H11" s="32">
        <v>6948</v>
      </c>
      <c r="I11" s="4">
        <v>37</v>
      </c>
      <c r="J11" s="19">
        <v>6985</v>
      </c>
    </row>
    <row r="12" spans="1:10" x14ac:dyDescent="0.25">
      <c r="A12" s="18" t="s">
        <v>6</v>
      </c>
      <c r="B12" s="4">
        <v>3601</v>
      </c>
      <c r="C12" s="2">
        <v>5389</v>
      </c>
      <c r="D12" s="2">
        <v>3235</v>
      </c>
      <c r="E12" s="2">
        <v>783</v>
      </c>
      <c r="F12" s="2">
        <v>3903</v>
      </c>
      <c r="G12" s="26">
        <v>4044</v>
      </c>
      <c r="H12" s="32">
        <v>20955</v>
      </c>
      <c r="I12" s="4">
        <v>154</v>
      </c>
      <c r="J12" s="19">
        <v>21109</v>
      </c>
    </row>
    <row r="13" spans="1:10" x14ac:dyDescent="0.25">
      <c r="A13" s="18" t="s">
        <v>7</v>
      </c>
      <c r="B13" s="4">
        <v>6496</v>
      </c>
      <c r="C13" s="2">
        <v>6947</v>
      </c>
      <c r="D13" s="2">
        <v>4651</v>
      </c>
      <c r="E13" s="2">
        <v>1205</v>
      </c>
      <c r="F13" s="2">
        <v>4288</v>
      </c>
      <c r="G13" s="26">
        <v>5003</v>
      </c>
      <c r="H13" s="32">
        <v>28590</v>
      </c>
      <c r="I13" s="4">
        <v>295</v>
      </c>
      <c r="J13" s="19">
        <v>28885</v>
      </c>
    </row>
    <row r="14" spans="1:10" x14ac:dyDescent="0.25">
      <c r="A14" s="18" t="s">
        <v>8</v>
      </c>
      <c r="B14" s="4">
        <v>10783</v>
      </c>
      <c r="C14" s="2">
        <v>11031</v>
      </c>
      <c r="D14" s="2">
        <v>3969</v>
      </c>
      <c r="E14" s="2">
        <v>1178</v>
      </c>
      <c r="F14" s="2">
        <v>3506</v>
      </c>
      <c r="G14" s="26">
        <v>2837</v>
      </c>
      <c r="H14" s="32">
        <v>33304</v>
      </c>
      <c r="I14" s="4">
        <v>407</v>
      </c>
      <c r="J14" s="19">
        <v>33711</v>
      </c>
    </row>
    <row r="15" spans="1:10" x14ac:dyDescent="0.25">
      <c r="A15" s="18" t="s">
        <v>9</v>
      </c>
      <c r="B15" s="4">
        <v>8947</v>
      </c>
      <c r="C15" s="2">
        <v>5457</v>
      </c>
      <c r="D15" s="2">
        <v>759</v>
      </c>
      <c r="E15" s="2">
        <v>247</v>
      </c>
      <c r="F15" s="2">
        <v>1152</v>
      </c>
      <c r="G15" s="26">
        <v>498</v>
      </c>
      <c r="H15" s="32">
        <v>17060</v>
      </c>
      <c r="I15" s="4">
        <v>75</v>
      </c>
      <c r="J15" s="19">
        <v>17135</v>
      </c>
    </row>
    <row r="16" spans="1:10" x14ac:dyDescent="0.25">
      <c r="A16" s="18" t="s">
        <v>10</v>
      </c>
      <c r="B16" s="4">
        <v>5407</v>
      </c>
      <c r="C16" s="2">
        <v>2584</v>
      </c>
      <c r="D16" s="2">
        <v>445</v>
      </c>
      <c r="E16" s="2">
        <v>313</v>
      </c>
      <c r="F16" s="2">
        <v>1111</v>
      </c>
      <c r="G16" s="26">
        <v>364</v>
      </c>
      <c r="H16" s="32">
        <v>10224</v>
      </c>
      <c r="I16" s="4">
        <v>58</v>
      </c>
      <c r="J16" s="19">
        <v>10282</v>
      </c>
    </row>
    <row r="17" spans="1:10" x14ac:dyDescent="0.25">
      <c r="A17" s="18" t="s">
        <v>11</v>
      </c>
      <c r="B17" s="4">
        <v>367</v>
      </c>
      <c r="C17" s="2">
        <v>109</v>
      </c>
      <c r="D17" s="2">
        <v>3</v>
      </c>
      <c r="E17" s="2">
        <v>14</v>
      </c>
      <c r="F17" s="2">
        <v>0</v>
      </c>
      <c r="G17" s="26">
        <v>0</v>
      </c>
      <c r="H17" s="32">
        <v>493</v>
      </c>
      <c r="I17" s="4">
        <v>0</v>
      </c>
      <c r="J17" s="19">
        <v>493</v>
      </c>
    </row>
    <row r="18" spans="1:10" x14ac:dyDescent="0.25">
      <c r="A18" s="18" t="s">
        <v>12</v>
      </c>
      <c r="B18" s="4">
        <v>1418</v>
      </c>
      <c r="C18" s="2">
        <v>520</v>
      </c>
      <c r="D18" s="2">
        <v>15</v>
      </c>
      <c r="E18" s="2">
        <v>40</v>
      </c>
      <c r="F18" s="2">
        <v>0</v>
      </c>
      <c r="G18" s="26">
        <v>0</v>
      </c>
      <c r="H18" s="32">
        <v>1993</v>
      </c>
      <c r="I18" s="4">
        <v>24</v>
      </c>
      <c r="J18" s="19">
        <v>2017</v>
      </c>
    </row>
    <row r="19" spans="1:10" x14ac:dyDescent="0.25">
      <c r="A19" s="18" t="s">
        <v>13</v>
      </c>
      <c r="B19" s="4">
        <v>2043</v>
      </c>
      <c r="C19" s="2">
        <v>895</v>
      </c>
      <c r="D19" s="2">
        <v>42</v>
      </c>
      <c r="E19" s="2">
        <v>71</v>
      </c>
      <c r="F19" s="2">
        <v>0</v>
      </c>
      <c r="G19" s="26">
        <v>0</v>
      </c>
      <c r="H19" s="32">
        <v>3051</v>
      </c>
      <c r="I19" s="4">
        <v>54</v>
      </c>
      <c r="J19" s="19">
        <v>3105</v>
      </c>
    </row>
    <row r="20" spans="1:10" x14ac:dyDescent="0.25">
      <c r="A20" s="18" t="s">
        <v>14</v>
      </c>
      <c r="B20" s="4">
        <v>3560</v>
      </c>
      <c r="C20" s="2">
        <v>1376</v>
      </c>
      <c r="D20" s="2">
        <v>28</v>
      </c>
      <c r="E20" s="2">
        <v>102</v>
      </c>
      <c r="F20" s="2">
        <v>0</v>
      </c>
      <c r="G20" s="26">
        <v>0</v>
      </c>
      <c r="H20" s="32">
        <v>5066</v>
      </c>
      <c r="I20" s="4">
        <v>57</v>
      </c>
      <c r="J20" s="19">
        <v>5123</v>
      </c>
    </row>
    <row r="21" spans="1:10" x14ac:dyDescent="0.25">
      <c r="A21" s="18" t="s">
        <v>15</v>
      </c>
      <c r="B21" s="4">
        <v>1211</v>
      </c>
      <c r="C21" s="2">
        <v>429</v>
      </c>
      <c r="D21" s="2">
        <v>0</v>
      </c>
      <c r="E21" s="2">
        <v>14</v>
      </c>
      <c r="F21" s="2">
        <v>0</v>
      </c>
      <c r="G21" s="26">
        <v>0</v>
      </c>
      <c r="H21" s="32">
        <v>1654</v>
      </c>
      <c r="I21" s="4">
        <v>0</v>
      </c>
      <c r="J21" s="19">
        <v>1654</v>
      </c>
    </row>
    <row r="22" spans="1:10" x14ac:dyDescent="0.25">
      <c r="A22" s="18" t="s">
        <v>41</v>
      </c>
      <c r="B22" s="4">
        <v>1</v>
      </c>
      <c r="C22" s="2">
        <v>0</v>
      </c>
      <c r="D22" s="2">
        <v>0</v>
      </c>
      <c r="E22" s="2">
        <v>0</v>
      </c>
      <c r="F22" s="2">
        <v>0</v>
      </c>
      <c r="G22" s="26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45494</v>
      </c>
      <c r="C24" s="34">
        <f>SUM(C7:C22)</f>
        <v>36703</v>
      </c>
      <c r="D24" s="34">
        <f>SUM(D7:D22)</f>
        <v>14472</v>
      </c>
      <c r="E24" s="34">
        <f>SUM(E7:E22)</f>
        <v>4287</v>
      </c>
      <c r="F24" s="34">
        <f>SUM(F7:F22)</f>
        <v>15108</v>
      </c>
      <c r="G24" s="35">
        <f>SUM(G7:G22)</f>
        <v>13893</v>
      </c>
      <c r="H24" s="30">
        <f>SUM(H7:H22)</f>
        <v>129957</v>
      </c>
      <c r="I24" s="34">
        <f>SUM(I7:I22)</f>
        <v>1162</v>
      </c>
      <c r="J24" s="36">
        <f>SUM(J7:J22)</f>
        <v>131119</v>
      </c>
    </row>
    <row r="25" spans="1:10" x14ac:dyDescent="0.25">
      <c r="A25" s="18" t="s">
        <v>17</v>
      </c>
      <c r="B25" s="5">
        <v>2066</v>
      </c>
      <c r="C25" s="6">
        <v>1588</v>
      </c>
      <c r="D25" s="6">
        <v>359</v>
      </c>
      <c r="E25" s="6">
        <v>175</v>
      </c>
      <c r="F25" s="6">
        <v>1913</v>
      </c>
      <c r="G25" s="25">
        <v>944</v>
      </c>
      <c r="H25" s="32">
        <v>7045</v>
      </c>
      <c r="I25" s="5">
        <v>74</v>
      </c>
      <c r="J25" s="23">
        <v>7119</v>
      </c>
    </row>
    <row r="26" spans="1:10" x14ac:dyDescent="0.25">
      <c r="A26" s="18" t="s">
        <v>18</v>
      </c>
      <c r="B26" s="4">
        <v>7405</v>
      </c>
      <c r="C26" s="2">
        <v>5724</v>
      </c>
      <c r="D26" s="2">
        <v>893</v>
      </c>
      <c r="E26" s="2">
        <v>518</v>
      </c>
      <c r="F26" s="2">
        <v>4526</v>
      </c>
      <c r="G26" s="26">
        <v>2903</v>
      </c>
      <c r="H26" s="32">
        <v>21969</v>
      </c>
      <c r="I26" s="4">
        <v>113</v>
      </c>
      <c r="J26" s="23">
        <v>22082</v>
      </c>
    </row>
    <row r="27" spans="1:10" x14ac:dyDescent="0.25">
      <c r="A27" s="18" t="s">
        <v>19</v>
      </c>
      <c r="B27" s="4">
        <v>21709</v>
      </c>
      <c r="C27" s="2">
        <v>14827</v>
      </c>
      <c r="D27" s="2">
        <v>3679</v>
      </c>
      <c r="E27" s="2">
        <v>1042</v>
      </c>
      <c r="F27" s="2">
        <v>14783</v>
      </c>
      <c r="G27" s="26">
        <v>8380</v>
      </c>
      <c r="H27" s="32">
        <v>64420</v>
      </c>
      <c r="I27" s="4">
        <v>701</v>
      </c>
      <c r="J27" s="23">
        <v>65121</v>
      </c>
    </row>
    <row r="28" spans="1:10" x14ac:dyDescent="0.25">
      <c r="A28" s="18" t="s">
        <v>20</v>
      </c>
      <c r="B28" s="4">
        <v>39173</v>
      </c>
      <c r="C28" s="2">
        <v>21126</v>
      </c>
      <c r="D28" s="2">
        <v>10252</v>
      </c>
      <c r="E28" s="2">
        <v>2122</v>
      </c>
      <c r="F28" s="2">
        <v>18626</v>
      </c>
      <c r="G28" s="26">
        <v>12090</v>
      </c>
      <c r="H28" s="32">
        <v>103389</v>
      </c>
      <c r="I28" s="4">
        <v>1321</v>
      </c>
      <c r="J28" s="23">
        <v>104710</v>
      </c>
    </row>
    <row r="29" spans="1:10" x14ac:dyDescent="0.25">
      <c r="A29" s="18" t="s">
        <v>21</v>
      </c>
      <c r="B29" s="4">
        <v>64414</v>
      </c>
      <c r="C29" s="2">
        <v>31475</v>
      </c>
      <c r="D29" s="2">
        <v>13160</v>
      </c>
      <c r="E29" s="2">
        <v>4403</v>
      </c>
      <c r="F29" s="2">
        <v>19398</v>
      </c>
      <c r="G29" s="26">
        <v>10640</v>
      </c>
      <c r="H29" s="32">
        <v>143490</v>
      </c>
      <c r="I29" s="4">
        <v>1661</v>
      </c>
      <c r="J29" s="23">
        <v>145151</v>
      </c>
    </row>
    <row r="30" spans="1:10" x14ac:dyDescent="0.25">
      <c r="A30" s="18" t="s">
        <v>22</v>
      </c>
      <c r="B30" s="4">
        <v>92891</v>
      </c>
      <c r="C30" s="2">
        <v>56060</v>
      </c>
      <c r="D30" s="2">
        <v>7387</v>
      </c>
      <c r="E30" s="2">
        <v>6702</v>
      </c>
      <c r="F30" s="2">
        <v>16281</v>
      </c>
      <c r="G30" s="26">
        <v>14710</v>
      </c>
      <c r="H30" s="32">
        <v>194031</v>
      </c>
      <c r="I30" s="4">
        <v>1802</v>
      </c>
      <c r="J30" s="23">
        <v>195833</v>
      </c>
    </row>
    <row r="31" spans="1:10" x14ac:dyDescent="0.25">
      <c r="A31" s="18" t="s">
        <v>23</v>
      </c>
      <c r="B31" s="4">
        <v>39532</v>
      </c>
      <c r="C31" s="2">
        <v>16525</v>
      </c>
      <c r="D31" s="2">
        <v>4686</v>
      </c>
      <c r="E31" s="2">
        <v>14395</v>
      </c>
      <c r="F31" s="2">
        <v>13543</v>
      </c>
      <c r="G31" s="26">
        <v>3188</v>
      </c>
      <c r="H31" s="32">
        <v>91869</v>
      </c>
      <c r="I31" s="4">
        <v>128</v>
      </c>
      <c r="J31" s="23">
        <v>91997</v>
      </c>
    </row>
    <row r="32" spans="1:10" x14ac:dyDescent="0.25">
      <c r="A32" s="18" t="s">
        <v>24</v>
      </c>
      <c r="B32" s="4">
        <v>21251</v>
      </c>
      <c r="C32" s="2">
        <v>7423</v>
      </c>
      <c r="D32" s="2">
        <v>1167</v>
      </c>
      <c r="E32" s="2">
        <v>3273</v>
      </c>
      <c r="F32" s="2">
        <v>359</v>
      </c>
      <c r="G32" s="26">
        <v>700</v>
      </c>
      <c r="H32" s="32">
        <v>34173</v>
      </c>
      <c r="I32" s="4">
        <v>2</v>
      </c>
      <c r="J32" s="23">
        <v>34175</v>
      </c>
    </row>
    <row r="33" spans="1:10" x14ac:dyDescent="0.25">
      <c r="A33" s="18" t="s">
        <v>25</v>
      </c>
      <c r="B33" s="2">
        <v>14691</v>
      </c>
      <c r="C33" s="2">
        <v>7702</v>
      </c>
      <c r="D33" s="2">
        <v>746</v>
      </c>
      <c r="E33" s="2">
        <v>1726</v>
      </c>
      <c r="F33" s="2">
        <v>744</v>
      </c>
      <c r="G33" s="26">
        <v>789</v>
      </c>
      <c r="H33" s="32">
        <v>26398</v>
      </c>
      <c r="I33" s="4">
        <v>0</v>
      </c>
      <c r="J33" s="23">
        <v>26398</v>
      </c>
    </row>
    <row r="34" spans="1:10" x14ac:dyDescent="0.25">
      <c r="A34" s="18" t="s">
        <v>42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6">
        <v>0</v>
      </c>
      <c r="H34" s="32">
        <v>1</v>
      </c>
      <c r="I34" s="4">
        <v>0</v>
      </c>
      <c r="J34" s="23">
        <v>1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303133</v>
      </c>
      <c r="C36" s="34">
        <f>SUM(C25:C34)</f>
        <v>162450</v>
      </c>
      <c r="D36" s="34">
        <f>SUM(D25:D34)</f>
        <v>42329</v>
      </c>
      <c r="E36" s="34">
        <f>SUM(E25:E34)</f>
        <v>34356</v>
      </c>
      <c r="F36" s="34">
        <f>SUM(F25:F34)</f>
        <v>90173</v>
      </c>
      <c r="G36" s="35">
        <f>SUM(G25:G34)</f>
        <v>54344</v>
      </c>
      <c r="H36" s="30">
        <f>SUM(H25:H34)</f>
        <v>686785</v>
      </c>
      <c r="I36" s="34">
        <f>SUM(I25:I34)</f>
        <v>5802</v>
      </c>
      <c r="J36" s="41">
        <f>SUM(J25:J34)</f>
        <v>692587</v>
      </c>
    </row>
    <row r="37" spans="1:10" ht="16.5" thickTop="1" thickBot="1" x14ac:dyDescent="0.3">
      <c r="A37" s="11" t="s">
        <v>27</v>
      </c>
      <c r="B37" s="37">
        <f>SUM(B24,B36)</f>
        <v>348627</v>
      </c>
      <c r="C37" s="37">
        <f>SUM(C24,C36)</f>
        <v>199153</v>
      </c>
      <c r="D37" s="37">
        <f>SUM(D24,D36)</f>
        <v>56801</v>
      </c>
      <c r="E37" s="37">
        <f>SUM(E24,E36)</f>
        <v>38643</v>
      </c>
      <c r="F37" s="37">
        <f>SUM(F24,F36)</f>
        <v>105281</v>
      </c>
      <c r="G37" s="38">
        <f>SUM(G24,G36)</f>
        <v>68237</v>
      </c>
      <c r="H37" s="40">
        <f>SUM(H24,H36)</f>
        <v>816742</v>
      </c>
      <c r="I37" s="37">
        <f>SUM(I24,I36)</f>
        <v>6964</v>
      </c>
      <c r="J37" s="39">
        <f>SUM(J24,J36)</f>
        <v>823706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48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0</v>
      </c>
      <c r="D8" s="57">
        <v>0</v>
      </c>
      <c r="E8" s="57">
        <v>1</v>
      </c>
      <c r="F8" s="57">
        <v>3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64</v>
      </c>
      <c r="C9" s="57">
        <v>34</v>
      </c>
      <c r="D9" s="57">
        <v>17</v>
      </c>
      <c r="E9" s="57">
        <v>4</v>
      </c>
      <c r="F9" s="57">
        <v>46</v>
      </c>
      <c r="G9" s="57">
        <v>25</v>
      </c>
      <c r="H9" s="32">
        <v>191</v>
      </c>
      <c r="I9" s="4">
        <v>0</v>
      </c>
      <c r="J9" s="19">
        <v>191</v>
      </c>
    </row>
    <row r="10" spans="1:10" x14ac:dyDescent="0.25">
      <c r="A10" s="18" t="s">
        <v>4</v>
      </c>
      <c r="B10" s="57">
        <v>160</v>
      </c>
      <c r="C10" s="57">
        <v>74</v>
      </c>
      <c r="D10" s="57">
        <v>26</v>
      </c>
      <c r="E10" s="57">
        <v>6</v>
      </c>
      <c r="F10" s="57">
        <v>107</v>
      </c>
      <c r="G10" s="57">
        <v>59</v>
      </c>
      <c r="H10" s="32">
        <v>420</v>
      </c>
      <c r="I10" s="4">
        <v>1</v>
      </c>
      <c r="J10" s="19">
        <v>421</v>
      </c>
    </row>
    <row r="11" spans="1:10" x14ac:dyDescent="0.25">
      <c r="A11" s="18" t="s">
        <v>5</v>
      </c>
      <c r="B11" s="58">
        <v>1443</v>
      </c>
      <c r="C11" s="58">
        <v>1875</v>
      </c>
      <c r="D11" s="58">
        <v>1191</v>
      </c>
      <c r="E11" s="57">
        <v>309</v>
      </c>
      <c r="F11" s="58">
        <v>1014</v>
      </c>
      <c r="G11" s="58">
        <v>1069</v>
      </c>
      <c r="H11" s="32">
        <v>6948</v>
      </c>
      <c r="I11" s="4">
        <v>37</v>
      </c>
      <c r="J11" s="19">
        <v>6985</v>
      </c>
    </row>
    <row r="12" spans="1:10" x14ac:dyDescent="0.25">
      <c r="A12" s="18" t="s">
        <v>6</v>
      </c>
      <c r="B12" s="58">
        <v>3577</v>
      </c>
      <c r="C12" s="58">
        <v>5206</v>
      </c>
      <c r="D12" s="58">
        <v>3114</v>
      </c>
      <c r="E12" s="57">
        <v>786</v>
      </c>
      <c r="F12" s="58">
        <v>3831</v>
      </c>
      <c r="G12" s="58">
        <v>4025</v>
      </c>
      <c r="H12" s="32">
        <v>20955</v>
      </c>
      <c r="I12" s="4">
        <v>154</v>
      </c>
      <c r="J12" s="19">
        <v>21109</v>
      </c>
    </row>
    <row r="13" spans="1:10" x14ac:dyDescent="0.25">
      <c r="A13" s="18" t="s">
        <v>7</v>
      </c>
      <c r="B13" s="58">
        <v>6526</v>
      </c>
      <c r="C13" s="58">
        <v>7063</v>
      </c>
      <c r="D13" s="58">
        <v>4657</v>
      </c>
      <c r="E13" s="58">
        <v>1201</v>
      </c>
      <c r="F13" s="58">
        <v>4272</v>
      </c>
      <c r="G13" s="58">
        <v>4995</v>
      </c>
      <c r="H13" s="32">
        <v>28590</v>
      </c>
      <c r="I13" s="4">
        <v>292</v>
      </c>
      <c r="J13" s="19">
        <v>28885</v>
      </c>
    </row>
    <row r="14" spans="1:10" x14ac:dyDescent="0.25">
      <c r="A14" s="18" t="s">
        <v>8</v>
      </c>
      <c r="B14" s="58">
        <v>10691</v>
      </c>
      <c r="C14" s="58">
        <v>11005</v>
      </c>
      <c r="D14" s="58">
        <v>4010</v>
      </c>
      <c r="E14" s="58">
        <v>1187</v>
      </c>
      <c r="F14" s="58">
        <v>3613</v>
      </c>
      <c r="G14" s="58">
        <v>2866</v>
      </c>
      <c r="H14" s="32">
        <v>33304</v>
      </c>
      <c r="I14" s="4">
        <v>409</v>
      </c>
      <c r="J14" s="19">
        <v>33711</v>
      </c>
    </row>
    <row r="15" spans="1:10" x14ac:dyDescent="0.25">
      <c r="A15" s="18" t="s">
        <v>9</v>
      </c>
      <c r="B15" s="58">
        <v>9026</v>
      </c>
      <c r="C15" s="58">
        <v>5507</v>
      </c>
      <c r="D15" s="57">
        <v>740</v>
      </c>
      <c r="E15" s="57">
        <v>284</v>
      </c>
      <c r="F15" s="58">
        <v>1086</v>
      </c>
      <c r="G15" s="57">
        <v>512</v>
      </c>
      <c r="H15" s="32">
        <v>17060</v>
      </c>
      <c r="I15" s="4">
        <v>77</v>
      </c>
      <c r="J15" s="19">
        <v>17135</v>
      </c>
    </row>
    <row r="16" spans="1:10" x14ac:dyDescent="0.25">
      <c r="A16" s="18" t="s">
        <v>10</v>
      </c>
      <c r="B16" s="58">
        <v>5294</v>
      </c>
      <c r="C16" s="58">
        <v>2526</v>
      </c>
      <c r="D16" s="57">
        <v>449</v>
      </c>
      <c r="E16" s="57">
        <v>274</v>
      </c>
      <c r="F16" s="58">
        <v>1137</v>
      </c>
      <c r="G16" s="57">
        <v>364</v>
      </c>
      <c r="H16" s="32">
        <v>10224</v>
      </c>
      <c r="I16" s="4">
        <v>58</v>
      </c>
      <c r="J16" s="19">
        <v>10282</v>
      </c>
    </row>
    <row r="17" spans="1:10" x14ac:dyDescent="0.25">
      <c r="A17" s="18" t="s">
        <v>11</v>
      </c>
      <c r="B17" s="57">
        <v>376</v>
      </c>
      <c r="C17" s="57">
        <v>110</v>
      </c>
      <c r="D17" s="57">
        <v>3</v>
      </c>
      <c r="E17" s="57">
        <v>15</v>
      </c>
      <c r="F17" s="57">
        <v>0</v>
      </c>
      <c r="G17" s="57">
        <v>0</v>
      </c>
      <c r="H17" s="32">
        <v>493</v>
      </c>
      <c r="I17" s="4">
        <v>0</v>
      </c>
      <c r="J17" s="19">
        <v>493</v>
      </c>
    </row>
    <row r="18" spans="1:10" x14ac:dyDescent="0.25">
      <c r="A18" s="18" t="s">
        <v>12</v>
      </c>
      <c r="B18" s="58">
        <v>1414</v>
      </c>
      <c r="C18" s="57">
        <v>521</v>
      </c>
      <c r="D18" s="57">
        <v>15</v>
      </c>
      <c r="E18" s="57">
        <v>39</v>
      </c>
      <c r="F18" s="57">
        <v>0</v>
      </c>
      <c r="G18" s="57">
        <v>0</v>
      </c>
      <c r="H18" s="32">
        <v>1993</v>
      </c>
      <c r="I18" s="4">
        <v>24</v>
      </c>
      <c r="J18" s="19">
        <v>2017</v>
      </c>
    </row>
    <row r="19" spans="1:10" x14ac:dyDescent="0.25">
      <c r="A19" s="18" t="s">
        <v>13</v>
      </c>
      <c r="B19" s="58">
        <v>2059</v>
      </c>
      <c r="C19" s="57">
        <v>908</v>
      </c>
      <c r="D19" s="57">
        <v>41</v>
      </c>
      <c r="E19" s="57">
        <v>71</v>
      </c>
      <c r="F19" s="57">
        <v>0</v>
      </c>
      <c r="G19" s="57">
        <v>0</v>
      </c>
      <c r="H19" s="32">
        <v>3051</v>
      </c>
      <c r="I19" s="4">
        <v>54</v>
      </c>
      <c r="J19" s="19">
        <v>3105</v>
      </c>
    </row>
    <row r="20" spans="1:10" x14ac:dyDescent="0.25">
      <c r="A20" s="18" t="s">
        <v>14</v>
      </c>
      <c r="B20" s="58">
        <v>3542</v>
      </c>
      <c r="C20" s="58">
        <v>1365</v>
      </c>
      <c r="D20" s="57">
        <v>30</v>
      </c>
      <c r="E20" s="57">
        <v>100</v>
      </c>
      <c r="F20" s="57">
        <v>0</v>
      </c>
      <c r="G20" s="57">
        <v>0</v>
      </c>
      <c r="H20" s="32">
        <v>5066</v>
      </c>
      <c r="I20" s="4">
        <v>58</v>
      </c>
      <c r="J20" s="19">
        <v>5123</v>
      </c>
    </row>
    <row r="21" spans="1:10" x14ac:dyDescent="0.25">
      <c r="A21" s="18" t="s">
        <v>15</v>
      </c>
      <c r="B21" s="58">
        <v>1219</v>
      </c>
      <c r="C21" s="57">
        <v>428</v>
      </c>
      <c r="D21" s="57">
        <v>0</v>
      </c>
      <c r="E21" s="57">
        <v>14</v>
      </c>
      <c r="F21" s="57">
        <v>0</v>
      </c>
      <c r="G21" s="57">
        <v>0</v>
      </c>
      <c r="H21" s="32">
        <v>1654</v>
      </c>
      <c r="I21" s="4">
        <v>0</v>
      </c>
      <c r="J21" s="19">
        <v>1654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45395</v>
      </c>
      <c r="C24" s="34">
        <f t="shared" ref="C24:J24" si="0">SUM(C7:C22)</f>
        <v>36622</v>
      </c>
      <c r="D24" s="34">
        <f t="shared" si="0"/>
        <v>14293</v>
      </c>
      <c r="E24" s="34">
        <f t="shared" si="0"/>
        <v>4291</v>
      </c>
      <c r="F24" s="34">
        <f t="shared" si="0"/>
        <v>15109</v>
      </c>
      <c r="G24" s="35">
        <f t="shared" si="0"/>
        <v>13915</v>
      </c>
      <c r="H24" s="30">
        <f t="shared" si="0"/>
        <v>129957</v>
      </c>
      <c r="I24" s="34">
        <f t="shared" si="0"/>
        <v>1164</v>
      </c>
      <c r="J24" s="36">
        <f t="shared" si="0"/>
        <v>131119</v>
      </c>
    </row>
    <row r="25" spans="1:10" x14ac:dyDescent="0.25">
      <c r="A25" s="18" t="s">
        <v>17</v>
      </c>
      <c r="B25" s="5">
        <v>2069</v>
      </c>
      <c r="C25" s="6">
        <v>1570</v>
      </c>
      <c r="D25" s="6">
        <v>353</v>
      </c>
      <c r="E25" s="6">
        <v>178</v>
      </c>
      <c r="F25" s="6">
        <v>1891</v>
      </c>
      <c r="G25" s="25">
        <v>957</v>
      </c>
      <c r="H25" s="32">
        <v>7045</v>
      </c>
      <c r="I25" s="5">
        <v>73</v>
      </c>
      <c r="J25" s="23">
        <v>7119</v>
      </c>
    </row>
    <row r="26" spans="1:10" x14ac:dyDescent="0.25">
      <c r="A26" s="18" t="s">
        <v>18</v>
      </c>
      <c r="B26" s="4">
        <v>7393</v>
      </c>
      <c r="C26" s="2">
        <v>5783</v>
      </c>
      <c r="D26" s="2">
        <v>894</v>
      </c>
      <c r="E26" s="2">
        <v>520</v>
      </c>
      <c r="F26" s="2">
        <v>4464</v>
      </c>
      <c r="G26" s="26">
        <v>2898</v>
      </c>
      <c r="H26" s="32">
        <v>21969</v>
      </c>
      <c r="I26" s="4">
        <v>115</v>
      </c>
      <c r="J26" s="23">
        <v>22082</v>
      </c>
    </row>
    <row r="27" spans="1:10" x14ac:dyDescent="0.25">
      <c r="A27" s="18" t="s">
        <v>19</v>
      </c>
      <c r="B27" s="4">
        <v>21679</v>
      </c>
      <c r="C27" s="2">
        <v>14680</v>
      </c>
      <c r="D27" s="2">
        <v>3666</v>
      </c>
      <c r="E27" s="2">
        <v>1044</v>
      </c>
      <c r="F27" s="2">
        <v>14694</v>
      </c>
      <c r="G27" s="26">
        <v>8375</v>
      </c>
      <c r="H27" s="32">
        <v>64420</v>
      </c>
      <c r="I27" s="4">
        <v>705</v>
      </c>
      <c r="J27" s="23">
        <v>65121</v>
      </c>
    </row>
    <row r="28" spans="1:10" x14ac:dyDescent="0.25">
      <c r="A28" s="18" t="s">
        <v>20</v>
      </c>
      <c r="B28" s="4">
        <v>39169</v>
      </c>
      <c r="C28" s="2">
        <v>21006</v>
      </c>
      <c r="D28" s="2">
        <v>10403</v>
      </c>
      <c r="E28" s="2">
        <v>2128</v>
      </c>
      <c r="F28" s="2">
        <v>18591</v>
      </c>
      <c r="G28" s="26">
        <v>12076</v>
      </c>
      <c r="H28" s="32">
        <v>103389</v>
      </c>
      <c r="I28" s="4">
        <v>1389</v>
      </c>
      <c r="J28" s="23">
        <v>104710</v>
      </c>
    </row>
    <row r="29" spans="1:10" x14ac:dyDescent="0.25">
      <c r="A29" s="18" t="s">
        <v>21</v>
      </c>
      <c r="B29" s="4">
        <v>64449</v>
      </c>
      <c r="C29" s="2">
        <v>33088</v>
      </c>
      <c r="D29" s="2">
        <v>13171</v>
      </c>
      <c r="E29" s="2">
        <v>4286</v>
      </c>
      <c r="F29" s="2">
        <v>19420</v>
      </c>
      <c r="G29" s="26">
        <v>10743</v>
      </c>
      <c r="H29" s="32">
        <v>143490</v>
      </c>
      <c r="I29" s="4">
        <v>1667</v>
      </c>
      <c r="J29" s="23">
        <v>145151</v>
      </c>
    </row>
    <row r="30" spans="1:10" x14ac:dyDescent="0.25">
      <c r="A30" s="18" t="s">
        <v>22</v>
      </c>
      <c r="B30" s="4">
        <v>93381</v>
      </c>
      <c r="C30" s="2">
        <v>54836</v>
      </c>
      <c r="D30" s="2">
        <v>7311</v>
      </c>
      <c r="E30" s="2">
        <v>6607</v>
      </c>
      <c r="F30" s="2">
        <v>16246</v>
      </c>
      <c r="G30" s="26">
        <v>14558</v>
      </c>
      <c r="H30" s="32">
        <v>194031</v>
      </c>
      <c r="I30" s="4">
        <v>1705</v>
      </c>
      <c r="J30" s="23">
        <v>195833</v>
      </c>
    </row>
    <row r="31" spans="1:10" x14ac:dyDescent="0.25">
      <c r="A31" s="18" t="s">
        <v>23</v>
      </c>
      <c r="B31" s="4">
        <v>39507</v>
      </c>
      <c r="C31" s="2">
        <v>16616</v>
      </c>
      <c r="D31" s="2">
        <v>4435</v>
      </c>
      <c r="E31" s="2">
        <v>14531</v>
      </c>
      <c r="F31" s="2">
        <v>13422</v>
      </c>
      <c r="G31" s="26">
        <v>3185</v>
      </c>
      <c r="H31" s="32">
        <v>91869</v>
      </c>
      <c r="I31" s="4">
        <v>113</v>
      </c>
      <c r="J31" s="23">
        <v>91997</v>
      </c>
    </row>
    <row r="32" spans="1:10" x14ac:dyDescent="0.25">
      <c r="A32" s="18" t="s">
        <v>24</v>
      </c>
      <c r="B32" s="4">
        <v>20797</v>
      </c>
      <c r="C32" s="2">
        <v>7854</v>
      </c>
      <c r="D32" s="2">
        <v>1142</v>
      </c>
      <c r="E32" s="2">
        <v>3401</v>
      </c>
      <c r="F32" s="2">
        <v>364</v>
      </c>
      <c r="G32" s="26">
        <v>738</v>
      </c>
      <c r="H32" s="32">
        <v>34173</v>
      </c>
      <c r="I32" s="4">
        <v>2</v>
      </c>
      <c r="J32" s="23">
        <v>34175</v>
      </c>
    </row>
    <row r="33" spans="1:10" x14ac:dyDescent="0.25">
      <c r="A33" s="18" t="s">
        <v>25</v>
      </c>
      <c r="B33" s="2">
        <v>14859</v>
      </c>
      <c r="C33" s="2">
        <v>7312</v>
      </c>
      <c r="D33" s="2">
        <v>756</v>
      </c>
      <c r="E33" s="2">
        <v>1604</v>
      </c>
      <c r="F33" s="2">
        <v>788</v>
      </c>
      <c r="G33" s="26">
        <v>794</v>
      </c>
      <c r="H33" s="32">
        <v>26398</v>
      </c>
      <c r="I33" s="4">
        <v>0</v>
      </c>
      <c r="J33" s="23">
        <v>26398</v>
      </c>
    </row>
    <row r="34" spans="1:10" x14ac:dyDescent="0.25">
      <c r="A34" s="18" t="s">
        <v>42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6">
        <v>0</v>
      </c>
      <c r="H34" s="32">
        <v>1</v>
      </c>
      <c r="I34" s="4">
        <v>0</v>
      </c>
      <c r="J34" s="23">
        <v>1</v>
      </c>
    </row>
    <row r="35" spans="1:10" ht="33" customHeight="1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303303</v>
      </c>
      <c r="C36" s="34">
        <f t="shared" ref="C36:J36" si="1">SUM(C25:C34)</f>
        <v>162745</v>
      </c>
      <c r="D36" s="34">
        <f t="shared" si="1"/>
        <v>42131</v>
      </c>
      <c r="E36" s="34">
        <f t="shared" si="1"/>
        <v>34299</v>
      </c>
      <c r="F36" s="34">
        <f t="shared" si="1"/>
        <v>89881</v>
      </c>
      <c r="G36" s="35">
        <f t="shared" si="1"/>
        <v>54324</v>
      </c>
      <c r="H36" s="30">
        <f t="shared" si="1"/>
        <v>686785</v>
      </c>
      <c r="I36" s="34">
        <f t="shared" si="1"/>
        <v>5769</v>
      </c>
      <c r="J36" s="36">
        <f t="shared" si="1"/>
        <v>692587</v>
      </c>
    </row>
    <row r="37" spans="1:10" ht="16.5" thickTop="1" thickBot="1" x14ac:dyDescent="0.3">
      <c r="A37" s="11" t="s">
        <v>27</v>
      </c>
      <c r="B37" s="37">
        <f t="shared" ref="B37:J37" si="2">SUM(B24,B36)</f>
        <v>348698</v>
      </c>
      <c r="C37" s="37">
        <f t="shared" si="2"/>
        <v>199367</v>
      </c>
      <c r="D37" s="37">
        <f t="shared" si="2"/>
        <v>56424</v>
      </c>
      <c r="E37" s="37">
        <f t="shared" si="2"/>
        <v>38590</v>
      </c>
      <c r="F37" s="37">
        <f t="shared" si="2"/>
        <v>104990</v>
      </c>
      <c r="G37" s="38">
        <f t="shared" si="2"/>
        <v>68239</v>
      </c>
      <c r="H37" s="40">
        <f t="shared" si="2"/>
        <v>816742</v>
      </c>
      <c r="I37" s="37">
        <f t="shared" si="2"/>
        <v>6933</v>
      </c>
      <c r="J37" s="59">
        <f t="shared" si="2"/>
        <v>823706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47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0</v>
      </c>
      <c r="D8" s="57">
        <v>0</v>
      </c>
      <c r="E8" s="57">
        <v>1</v>
      </c>
      <c r="F8" s="57">
        <v>3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63</v>
      </c>
      <c r="C9" s="57">
        <v>34</v>
      </c>
      <c r="D9" s="57">
        <v>17</v>
      </c>
      <c r="E9" s="57">
        <v>4</v>
      </c>
      <c r="F9" s="57">
        <v>44</v>
      </c>
      <c r="G9" s="57">
        <v>25</v>
      </c>
      <c r="H9" s="32">
        <v>187</v>
      </c>
      <c r="I9" s="4">
        <v>0</v>
      </c>
      <c r="J9" s="19">
        <v>187</v>
      </c>
    </row>
    <row r="10" spans="1:10" x14ac:dyDescent="0.25">
      <c r="A10" s="18" t="s">
        <v>4</v>
      </c>
      <c r="B10" s="57">
        <v>164</v>
      </c>
      <c r="C10" s="57">
        <v>75</v>
      </c>
      <c r="D10" s="57">
        <v>26</v>
      </c>
      <c r="E10" s="57">
        <v>6</v>
      </c>
      <c r="F10" s="57">
        <v>111</v>
      </c>
      <c r="G10" s="57">
        <v>60</v>
      </c>
      <c r="H10" s="32">
        <v>442</v>
      </c>
      <c r="I10" s="4">
        <v>1</v>
      </c>
      <c r="J10" s="19">
        <v>443</v>
      </c>
    </row>
    <row r="11" spans="1:10" x14ac:dyDescent="0.25">
      <c r="A11" s="18" t="s">
        <v>5</v>
      </c>
      <c r="B11" s="58">
        <v>1426</v>
      </c>
      <c r="C11" s="58">
        <v>1875</v>
      </c>
      <c r="D11" s="58">
        <v>1204</v>
      </c>
      <c r="E11" s="57">
        <v>301</v>
      </c>
      <c r="F11" s="58">
        <v>1004</v>
      </c>
      <c r="G11" s="58">
        <v>1053</v>
      </c>
      <c r="H11" s="32">
        <v>6863</v>
      </c>
      <c r="I11" s="4">
        <v>37</v>
      </c>
      <c r="J11" s="19">
        <v>6900</v>
      </c>
    </row>
    <row r="12" spans="1:10" x14ac:dyDescent="0.25">
      <c r="A12" s="18" t="s">
        <v>6</v>
      </c>
      <c r="B12" s="58">
        <v>3561</v>
      </c>
      <c r="C12" s="58">
        <v>5206</v>
      </c>
      <c r="D12" s="58">
        <v>3118</v>
      </c>
      <c r="E12" s="57">
        <v>782</v>
      </c>
      <c r="F12" s="58">
        <v>3818</v>
      </c>
      <c r="G12" s="58">
        <v>3996</v>
      </c>
      <c r="H12" s="32">
        <v>20481</v>
      </c>
      <c r="I12" s="4">
        <v>153</v>
      </c>
      <c r="J12" s="19">
        <v>20634</v>
      </c>
    </row>
    <row r="13" spans="1:10" x14ac:dyDescent="0.25">
      <c r="A13" s="18" t="s">
        <v>7</v>
      </c>
      <c r="B13" s="58">
        <v>6550</v>
      </c>
      <c r="C13" s="58">
        <v>7119</v>
      </c>
      <c r="D13" s="58">
        <v>4669</v>
      </c>
      <c r="E13" s="58">
        <v>1181</v>
      </c>
      <c r="F13" s="58">
        <v>4246</v>
      </c>
      <c r="G13" s="58">
        <v>5000</v>
      </c>
      <c r="H13" s="32">
        <v>28765</v>
      </c>
      <c r="I13" s="4">
        <v>291</v>
      </c>
      <c r="J13" s="19">
        <v>29056</v>
      </c>
    </row>
    <row r="14" spans="1:10" x14ac:dyDescent="0.25">
      <c r="A14" s="18" t="s">
        <v>8</v>
      </c>
      <c r="B14" s="58">
        <v>10648</v>
      </c>
      <c r="C14" s="58">
        <v>10900</v>
      </c>
      <c r="D14" s="58">
        <v>4011</v>
      </c>
      <c r="E14" s="58">
        <v>1162</v>
      </c>
      <c r="F14" s="58">
        <v>3615</v>
      </c>
      <c r="G14" s="58">
        <v>2869</v>
      </c>
      <c r="H14" s="32">
        <v>33205</v>
      </c>
      <c r="I14" s="4">
        <v>413</v>
      </c>
      <c r="J14" s="19">
        <v>33618</v>
      </c>
    </row>
    <row r="15" spans="1:10" x14ac:dyDescent="0.25">
      <c r="A15" s="18" t="s">
        <v>9</v>
      </c>
      <c r="B15" s="58">
        <v>8937</v>
      </c>
      <c r="C15" s="58">
        <v>5618</v>
      </c>
      <c r="D15" s="57">
        <v>711</v>
      </c>
      <c r="E15" s="57">
        <v>283</v>
      </c>
      <c r="F15" s="58">
        <v>1108</v>
      </c>
      <c r="G15" s="57">
        <v>509</v>
      </c>
      <c r="H15" s="32">
        <v>17166</v>
      </c>
      <c r="I15" s="4">
        <v>104</v>
      </c>
      <c r="J15" s="19">
        <v>17270</v>
      </c>
    </row>
    <row r="16" spans="1:10" x14ac:dyDescent="0.25">
      <c r="A16" s="18" t="s">
        <v>10</v>
      </c>
      <c r="B16" s="58">
        <v>5324</v>
      </c>
      <c r="C16" s="58">
        <v>2448</v>
      </c>
      <c r="D16" s="57">
        <v>432</v>
      </c>
      <c r="E16" s="57">
        <v>276</v>
      </c>
      <c r="F16" s="58">
        <v>1166</v>
      </c>
      <c r="G16" s="57">
        <v>377</v>
      </c>
      <c r="H16" s="32">
        <v>10023</v>
      </c>
      <c r="I16" s="4">
        <v>26</v>
      </c>
      <c r="J16" s="19">
        <v>10049</v>
      </c>
    </row>
    <row r="17" spans="1:10" x14ac:dyDescent="0.25">
      <c r="A17" s="18" t="s">
        <v>11</v>
      </c>
      <c r="B17" s="57">
        <v>393</v>
      </c>
      <c r="C17" s="57">
        <v>111</v>
      </c>
      <c r="D17" s="57">
        <v>3</v>
      </c>
      <c r="E17" s="57">
        <v>15</v>
      </c>
      <c r="F17" s="57">
        <v>0</v>
      </c>
      <c r="G17" s="57">
        <v>0</v>
      </c>
      <c r="H17" s="32">
        <v>522</v>
      </c>
      <c r="I17" s="4">
        <v>0</v>
      </c>
      <c r="J17" s="19">
        <v>522</v>
      </c>
    </row>
    <row r="18" spans="1:10" x14ac:dyDescent="0.25">
      <c r="A18" s="18" t="s">
        <v>12</v>
      </c>
      <c r="B18" s="58">
        <v>1450</v>
      </c>
      <c r="C18" s="57">
        <v>514</v>
      </c>
      <c r="D18" s="57">
        <v>13</v>
      </c>
      <c r="E18" s="57">
        <v>39</v>
      </c>
      <c r="F18" s="57">
        <v>0</v>
      </c>
      <c r="G18" s="57">
        <v>0</v>
      </c>
      <c r="H18" s="32">
        <v>2016</v>
      </c>
      <c r="I18" s="4">
        <v>24</v>
      </c>
      <c r="J18" s="19">
        <v>2040</v>
      </c>
    </row>
    <row r="19" spans="1:10" x14ac:dyDescent="0.25">
      <c r="A19" s="18" t="s">
        <v>13</v>
      </c>
      <c r="B19" s="58">
        <v>2096</v>
      </c>
      <c r="C19" s="57">
        <v>916</v>
      </c>
      <c r="D19" s="57">
        <v>40</v>
      </c>
      <c r="E19" s="57">
        <v>70</v>
      </c>
      <c r="F19" s="57">
        <v>0</v>
      </c>
      <c r="G19" s="57">
        <v>0</v>
      </c>
      <c r="H19" s="32">
        <v>3122</v>
      </c>
      <c r="I19" s="4">
        <v>54</v>
      </c>
      <c r="J19" s="19">
        <v>3176</v>
      </c>
    </row>
    <row r="20" spans="1:10" x14ac:dyDescent="0.25">
      <c r="A20" s="18" t="s">
        <v>14</v>
      </c>
      <c r="B20" s="58">
        <v>3584</v>
      </c>
      <c r="C20" s="58">
        <v>1362</v>
      </c>
      <c r="D20" s="57">
        <v>31</v>
      </c>
      <c r="E20" s="57">
        <v>100</v>
      </c>
      <c r="F20" s="57">
        <v>0</v>
      </c>
      <c r="G20" s="57">
        <v>0</v>
      </c>
      <c r="H20" s="32">
        <v>5077</v>
      </c>
      <c r="I20" s="4">
        <v>58</v>
      </c>
      <c r="J20" s="19">
        <v>5135</v>
      </c>
    </row>
    <row r="21" spans="1:10" x14ac:dyDescent="0.25">
      <c r="A21" s="18" t="s">
        <v>15</v>
      </c>
      <c r="B21" s="58">
        <v>1069</v>
      </c>
      <c r="C21" s="57">
        <v>419</v>
      </c>
      <c r="D21" s="57">
        <v>0</v>
      </c>
      <c r="E21" s="57">
        <v>14</v>
      </c>
      <c r="F21" s="57">
        <v>0</v>
      </c>
      <c r="G21" s="57">
        <v>0</v>
      </c>
      <c r="H21" s="32">
        <v>1502</v>
      </c>
      <c r="I21" s="4">
        <v>0</v>
      </c>
      <c r="J21" s="19">
        <v>1502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45269</v>
      </c>
      <c r="C24" s="34">
        <f t="shared" ref="C24:J24" si="0">SUM(C7:C22)</f>
        <v>36597</v>
      </c>
      <c r="D24" s="34">
        <f t="shared" si="0"/>
        <v>14275</v>
      </c>
      <c r="E24" s="34">
        <f t="shared" si="0"/>
        <v>4234</v>
      </c>
      <c r="F24" s="34">
        <f t="shared" si="0"/>
        <v>15115</v>
      </c>
      <c r="G24" s="35">
        <f t="shared" si="0"/>
        <v>13889</v>
      </c>
      <c r="H24" s="30">
        <f t="shared" si="0"/>
        <v>129379</v>
      </c>
      <c r="I24" s="34">
        <f t="shared" si="0"/>
        <v>1161</v>
      </c>
      <c r="J24" s="36">
        <f t="shared" si="0"/>
        <v>130540</v>
      </c>
    </row>
    <row r="25" spans="1:10" x14ac:dyDescent="0.25">
      <c r="A25" s="18" t="s">
        <v>17</v>
      </c>
      <c r="B25" s="5">
        <v>2064</v>
      </c>
      <c r="C25" s="6">
        <v>1564</v>
      </c>
      <c r="D25" s="6">
        <v>353</v>
      </c>
      <c r="E25" s="6">
        <v>174</v>
      </c>
      <c r="F25" s="6">
        <v>1884</v>
      </c>
      <c r="G25" s="25">
        <v>949</v>
      </c>
      <c r="H25" s="32">
        <v>6988</v>
      </c>
      <c r="I25" s="5">
        <v>75</v>
      </c>
      <c r="J25" s="23">
        <v>7063</v>
      </c>
    </row>
    <row r="26" spans="1:10" x14ac:dyDescent="0.25">
      <c r="A26" s="18" t="s">
        <v>18</v>
      </c>
      <c r="B26" s="4">
        <v>7373</v>
      </c>
      <c r="C26" s="2">
        <v>5763</v>
      </c>
      <c r="D26" s="2">
        <v>895</v>
      </c>
      <c r="E26" s="2">
        <v>517</v>
      </c>
      <c r="F26" s="2">
        <v>4435</v>
      </c>
      <c r="G26" s="26">
        <v>2909</v>
      </c>
      <c r="H26" s="32">
        <v>21892</v>
      </c>
      <c r="I26" s="4">
        <v>128</v>
      </c>
      <c r="J26" s="23">
        <v>22020</v>
      </c>
    </row>
    <row r="27" spans="1:10" x14ac:dyDescent="0.25">
      <c r="A27" s="18" t="s">
        <v>19</v>
      </c>
      <c r="B27" s="4">
        <v>21631</v>
      </c>
      <c r="C27" s="2">
        <v>15564</v>
      </c>
      <c r="D27" s="2">
        <v>3657</v>
      </c>
      <c r="E27" s="2">
        <v>1043</v>
      </c>
      <c r="F27" s="2">
        <v>14677</v>
      </c>
      <c r="G27" s="26">
        <v>8352</v>
      </c>
      <c r="H27" s="32">
        <v>64924</v>
      </c>
      <c r="I27" s="4">
        <v>695</v>
      </c>
      <c r="J27" s="23">
        <v>65619</v>
      </c>
    </row>
    <row r="28" spans="1:10" x14ac:dyDescent="0.25">
      <c r="A28" s="18" t="s">
        <v>20</v>
      </c>
      <c r="B28" s="4">
        <v>39223</v>
      </c>
      <c r="C28" s="2">
        <v>20021</v>
      </c>
      <c r="D28" s="2">
        <v>10353</v>
      </c>
      <c r="E28" s="2">
        <v>2094</v>
      </c>
      <c r="F28" s="2">
        <v>18553</v>
      </c>
      <c r="G28" s="26">
        <v>12064</v>
      </c>
      <c r="H28" s="32">
        <v>102308</v>
      </c>
      <c r="I28" s="4">
        <v>1439</v>
      </c>
      <c r="J28" s="23">
        <v>103747</v>
      </c>
    </row>
    <row r="29" spans="1:10" x14ac:dyDescent="0.25">
      <c r="A29" s="18" t="s">
        <v>21</v>
      </c>
      <c r="B29" s="4">
        <v>64523</v>
      </c>
      <c r="C29" s="2">
        <v>32928</v>
      </c>
      <c r="D29" s="2">
        <v>13209</v>
      </c>
      <c r="E29" s="2">
        <v>4551</v>
      </c>
      <c r="F29" s="2">
        <v>19477</v>
      </c>
      <c r="G29" s="26">
        <v>10823</v>
      </c>
      <c r="H29" s="32">
        <v>145511</v>
      </c>
      <c r="I29" s="4">
        <v>1698</v>
      </c>
      <c r="J29" s="23">
        <v>147209</v>
      </c>
    </row>
    <row r="30" spans="1:10" x14ac:dyDescent="0.25">
      <c r="A30" s="18" t="s">
        <v>22</v>
      </c>
      <c r="B30" s="4">
        <v>93826</v>
      </c>
      <c r="C30" s="2">
        <v>55301</v>
      </c>
      <c r="D30" s="2">
        <v>7357</v>
      </c>
      <c r="E30" s="2">
        <v>6634</v>
      </c>
      <c r="F30" s="2">
        <v>16128</v>
      </c>
      <c r="G30" s="26">
        <v>14427</v>
      </c>
      <c r="H30" s="32">
        <v>193673</v>
      </c>
      <c r="I30" s="4">
        <v>1565</v>
      </c>
      <c r="J30" s="23">
        <v>195238</v>
      </c>
    </row>
    <row r="31" spans="1:10" x14ac:dyDescent="0.25">
      <c r="A31" s="18" t="s">
        <v>23</v>
      </c>
      <c r="B31" s="4">
        <v>39228</v>
      </c>
      <c r="C31" s="2">
        <v>16569</v>
      </c>
      <c r="D31" s="2">
        <v>4549</v>
      </c>
      <c r="E31" s="2">
        <v>13937</v>
      </c>
      <c r="F31" s="2">
        <v>13258</v>
      </c>
      <c r="G31" s="26">
        <v>3200</v>
      </c>
      <c r="H31" s="32">
        <v>90741</v>
      </c>
      <c r="I31" s="4">
        <v>103</v>
      </c>
      <c r="J31" s="23">
        <v>90844</v>
      </c>
    </row>
    <row r="32" spans="1:10" x14ac:dyDescent="0.25">
      <c r="A32" s="18" t="s">
        <v>24</v>
      </c>
      <c r="B32" s="4">
        <v>20426</v>
      </c>
      <c r="C32" s="2">
        <v>8111</v>
      </c>
      <c r="D32" s="2">
        <v>1243</v>
      </c>
      <c r="E32" s="2">
        <v>3713</v>
      </c>
      <c r="F32" s="2">
        <v>359</v>
      </c>
      <c r="G32" s="26">
        <v>735</v>
      </c>
      <c r="H32" s="32">
        <v>34587</v>
      </c>
      <c r="I32" s="4">
        <v>1</v>
      </c>
      <c r="J32" s="23">
        <v>34588</v>
      </c>
    </row>
    <row r="33" spans="1:10" x14ac:dyDescent="0.25">
      <c r="A33" s="18" t="s">
        <v>25</v>
      </c>
      <c r="B33" s="2">
        <v>15126</v>
      </c>
      <c r="C33" s="2">
        <v>7094</v>
      </c>
      <c r="D33" s="2">
        <v>821</v>
      </c>
      <c r="E33" s="2">
        <v>1399</v>
      </c>
      <c r="F33" s="2">
        <v>862</v>
      </c>
      <c r="G33" s="26">
        <v>801</v>
      </c>
      <c r="H33" s="32">
        <v>26103</v>
      </c>
      <c r="I33" s="4">
        <v>0</v>
      </c>
      <c r="J33" s="23">
        <v>26103</v>
      </c>
    </row>
    <row r="34" spans="1:10" x14ac:dyDescent="0.25">
      <c r="A34" s="18" t="s">
        <v>42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6">
        <v>0</v>
      </c>
      <c r="H34" s="32">
        <v>1</v>
      </c>
      <c r="I34" s="4">
        <v>0</v>
      </c>
      <c r="J34" s="23">
        <v>1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303420</v>
      </c>
      <c r="C36" s="34">
        <f t="shared" ref="C36:J36" si="1">SUM(C25:C34)</f>
        <v>162915</v>
      </c>
      <c r="D36" s="34">
        <f t="shared" si="1"/>
        <v>42437</v>
      </c>
      <c r="E36" s="34">
        <f t="shared" si="1"/>
        <v>34063</v>
      </c>
      <c r="F36" s="34">
        <f t="shared" si="1"/>
        <v>89633</v>
      </c>
      <c r="G36" s="35">
        <f t="shared" si="1"/>
        <v>54260</v>
      </c>
      <c r="H36" s="30">
        <f t="shared" si="1"/>
        <v>686728</v>
      </c>
      <c r="I36" s="34">
        <f t="shared" si="1"/>
        <v>5704</v>
      </c>
      <c r="J36" s="36">
        <f t="shared" si="1"/>
        <v>692432</v>
      </c>
    </row>
    <row r="37" spans="1:10" ht="16.5" thickTop="1" thickBot="1" x14ac:dyDescent="0.3">
      <c r="A37" s="11" t="s">
        <v>27</v>
      </c>
      <c r="B37" s="37">
        <f t="shared" ref="B37:J37" si="2">SUM(B24,B36)</f>
        <v>348689</v>
      </c>
      <c r="C37" s="37">
        <f t="shared" si="2"/>
        <v>199512</v>
      </c>
      <c r="D37" s="37">
        <f t="shared" si="2"/>
        <v>56712</v>
      </c>
      <c r="E37" s="37">
        <f t="shared" si="2"/>
        <v>38297</v>
      </c>
      <c r="F37" s="37">
        <f t="shared" si="2"/>
        <v>104748</v>
      </c>
      <c r="G37" s="38">
        <f t="shared" si="2"/>
        <v>68149</v>
      </c>
      <c r="H37" s="40">
        <f t="shared" si="2"/>
        <v>816107</v>
      </c>
      <c r="I37" s="37">
        <f t="shared" si="2"/>
        <v>6865</v>
      </c>
      <c r="J37" s="59">
        <f t="shared" si="2"/>
        <v>822972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49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0</v>
      </c>
      <c r="D8" s="57">
        <v>0</v>
      </c>
      <c r="E8" s="57">
        <v>1</v>
      </c>
      <c r="F8" s="57">
        <v>3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63</v>
      </c>
      <c r="C9" s="57">
        <v>34</v>
      </c>
      <c r="D9" s="57">
        <v>17</v>
      </c>
      <c r="E9" s="57">
        <v>4</v>
      </c>
      <c r="F9" s="57">
        <v>44</v>
      </c>
      <c r="G9" s="57">
        <v>26</v>
      </c>
      <c r="H9" s="32">
        <v>188</v>
      </c>
      <c r="I9" s="4">
        <v>0</v>
      </c>
      <c r="J9" s="19">
        <v>188</v>
      </c>
    </row>
    <row r="10" spans="1:10" x14ac:dyDescent="0.25">
      <c r="A10" s="18" t="s">
        <v>4</v>
      </c>
      <c r="B10" s="57">
        <v>163</v>
      </c>
      <c r="C10" s="57">
        <v>76</v>
      </c>
      <c r="D10" s="57">
        <v>26</v>
      </c>
      <c r="E10" s="57">
        <v>6</v>
      </c>
      <c r="F10" s="57">
        <v>118</v>
      </c>
      <c r="G10" s="57">
        <v>57</v>
      </c>
      <c r="H10" s="32">
        <v>446</v>
      </c>
      <c r="I10" s="4">
        <v>1</v>
      </c>
      <c r="J10" s="19">
        <v>447</v>
      </c>
    </row>
    <row r="11" spans="1:10" x14ac:dyDescent="0.25">
      <c r="A11" s="18" t="s">
        <v>5</v>
      </c>
      <c r="B11" s="58">
        <v>1435</v>
      </c>
      <c r="C11" s="58">
        <v>1875</v>
      </c>
      <c r="D11" s="58">
        <v>1205</v>
      </c>
      <c r="E11" s="57">
        <v>299</v>
      </c>
      <c r="F11" s="58">
        <v>992</v>
      </c>
      <c r="G11" s="58">
        <v>1054</v>
      </c>
      <c r="H11" s="32">
        <v>6860</v>
      </c>
      <c r="I11" s="4">
        <v>37</v>
      </c>
      <c r="J11" s="19">
        <v>6897</v>
      </c>
    </row>
    <row r="12" spans="1:10" x14ac:dyDescent="0.25">
      <c r="A12" s="18" t="s">
        <v>6</v>
      </c>
      <c r="B12" s="58">
        <v>3562</v>
      </c>
      <c r="C12" s="58">
        <v>5204</v>
      </c>
      <c r="D12" s="58">
        <v>3127</v>
      </c>
      <c r="E12" s="57">
        <v>783</v>
      </c>
      <c r="F12" s="58">
        <v>3829</v>
      </c>
      <c r="G12" s="58">
        <v>3966</v>
      </c>
      <c r="H12" s="32">
        <v>20471</v>
      </c>
      <c r="I12" s="4">
        <v>153</v>
      </c>
      <c r="J12" s="19">
        <v>20624</v>
      </c>
    </row>
    <row r="13" spans="1:10" x14ac:dyDescent="0.25">
      <c r="A13" s="18" t="s">
        <v>7</v>
      </c>
      <c r="B13" s="58">
        <v>6559</v>
      </c>
      <c r="C13" s="58">
        <v>7234</v>
      </c>
      <c r="D13" s="58">
        <v>4658</v>
      </c>
      <c r="E13" s="58">
        <v>1190</v>
      </c>
      <c r="F13" s="58">
        <v>4220</v>
      </c>
      <c r="G13" s="58">
        <v>5010</v>
      </c>
      <c r="H13" s="32">
        <v>28871</v>
      </c>
      <c r="I13" s="4">
        <v>291</v>
      </c>
      <c r="J13" s="19">
        <v>29162</v>
      </c>
    </row>
    <row r="14" spans="1:10" x14ac:dyDescent="0.25">
      <c r="A14" s="18" t="s">
        <v>8</v>
      </c>
      <c r="B14" s="58">
        <v>10670</v>
      </c>
      <c r="C14" s="58">
        <v>10819</v>
      </c>
      <c r="D14" s="58">
        <v>4031</v>
      </c>
      <c r="E14" s="58">
        <v>1176</v>
      </c>
      <c r="F14" s="58">
        <v>3602</v>
      </c>
      <c r="G14" s="58">
        <v>2896</v>
      </c>
      <c r="H14" s="32">
        <v>33194</v>
      </c>
      <c r="I14" s="4">
        <v>412</v>
      </c>
      <c r="J14" s="19">
        <v>33606</v>
      </c>
    </row>
    <row r="15" spans="1:10" x14ac:dyDescent="0.25">
      <c r="A15" s="18" t="s">
        <v>9</v>
      </c>
      <c r="B15" s="58">
        <v>8883</v>
      </c>
      <c r="C15" s="58">
        <v>5801</v>
      </c>
      <c r="D15" s="57">
        <v>738</v>
      </c>
      <c r="E15" s="57">
        <v>283</v>
      </c>
      <c r="F15" s="58">
        <v>1124</v>
      </c>
      <c r="G15" s="57">
        <v>535</v>
      </c>
      <c r="H15" s="32">
        <v>17364</v>
      </c>
      <c r="I15" s="4">
        <v>103</v>
      </c>
      <c r="J15" s="19">
        <v>17467</v>
      </c>
    </row>
    <row r="16" spans="1:10" x14ac:dyDescent="0.25">
      <c r="A16" s="18" t="s">
        <v>10</v>
      </c>
      <c r="B16" s="58">
        <v>5307</v>
      </c>
      <c r="C16" s="58">
        <v>2318</v>
      </c>
      <c r="D16" s="57">
        <v>418</v>
      </c>
      <c r="E16" s="57">
        <v>281</v>
      </c>
      <c r="F16" s="58">
        <v>1148</v>
      </c>
      <c r="G16" s="57">
        <v>338</v>
      </c>
      <c r="H16" s="32">
        <v>9810</v>
      </c>
      <c r="I16" s="4">
        <v>26</v>
      </c>
      <c r="J16" s="19">
        <v>9836</v>
      </c>
    </row>
    <row r="17" spans="1:10" x14ac:dyDescent="0.25">
      <c r="A17" s="18" t="s">
        <v>11</v>
      </c>
      <c r="B17" s="57">
        <v>395</v>
      </c>
      <c r="C17" s="57">
        <v>110</v>
      </c>
      <c r="D17" s="57">
        <v>3</v>
      </c>
      <c r="E17" s="57">
        <v>15</v>
      </c>
      <c r="F17" s="57">
        <v>0</v>
      </c>
      <c r="G17" s="57">
        <v>0</v>
      </c>
      <c r="H17" s="32">
        <v>523</v>
      </c>
      <c r="I17" s="4">
        <v>0</v>
      </c>
      <c r="J17" s="19">
        <v>523</v>
      </c>
    </row>
    <row r="18" spans="1:10" x14ac:dyDescent="0.25">
      <c r="A18" s="18" t="s">
        <v>12</v>
      </c>
      <c r="B18" s="58">
        <v>1440</v>
      </c>
      <c r="C18" s="57">
        <v>514</v>
      </c>
      <c r="D18" s="57">
        <v>13</v>
      </c>
      <c r="E18" s="57">
        <v>38</v>
      </c>
      <c r="F18" s="57">
        <v>0</v>
      </c>
      <c r="G18" s="57">
        <v>0</v>
      </c>
      <c r="H18" s="32">
        <v>2005</v>
      </c>
      <c r="I18" s="4">
        <v>23</v>
      </c>
      <c r="J18" s="19">
        <v>2028</v>
      </c>
    </row>
    <row r="19" spans="1:10" x14ac:dyDescent="0.25">
      <c r="A19" s="18" t="s">
        <v>13</v>
      </c>
      <c r="B19" s="58">
        <v>2106</v>
      </c>
      <c r="C19" s="57">
        <v>931</v>
      </c>
      <c r="D19" s="57">
        <v>40</v>
      </c>
      <c r="E19" s="57">
        <v>68</v>
      </c>
      <c r="F19" s="57">
        <v>0</v>
      </c>
      <c r="G19" s="57">
        <v>0</v>
      </c>
      <c r="H19" s="32">
        <v>3145</v>
      </c>
      <c r="I19" s="4">
        <v>54</v>
      </c>
      <c r="J19" s="19">
        <v>3199</v>
      </c>
    </row>
    <row r="20" spans="1:10" x14ac:dyDescent="0.25">
      <c r="A20" s="18" t="s">
        <v>14</v>
      </c>
      <c r="B20" s="58">
        <v>3559</v>
      </c>
      <c r="C20" s="58">
        <v>1357</v>
      </c>
      <c r="D20" s="57">
        <v>31</v>
      </c>
      <c r="E20" s="57">
        <v>97</v>
      </c>
      <c r="F20" s="57">
        <v>0</v>
      </c>
      <c r="G20" s="57">
        <v>0</v>
      </c>
      <c r="H20" s="32">
        <v>5044</v>
      </c>
      <c r="I20" s="4">
        <v>58</v>
      </c>
      <c r="J20" s="19">
        <v>5102</v>
      </c>
    </row>
    <row r="21" spans="1:10" x14ac:dyDescent="0.25">
      <c r="A21" s="18" t="s">
        <v>15</v>
      </c>
      <c r="B21" s="58">
        <v>1073</v>
      </c>
      <c r="C21" s="57">
        <v>430</v>
      </c>
      <c r="D21" s="57">
        <v>0</v>
      </c>
      <c r="E21" s="57">
        <v>30</v>
      </c>
      <c r="F21" s="57">
        <v>0</v>
      </c>
      <c r="G21" s="57">
        <v>0</v>
      </c>
      <c r="H21" s="32">
        <v>1533</v>
      </c>
      <c r="I21" s="4">
        <v>0</v>
      </c>
      <c r="J21" s="19">
        <v>1533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45219</v>
      </c>
      <c r="C24" s="34">
        <f t="shared" ref="C24:J24" si="0">SUM(C7:C22)</f>
        <v>36703</v>
      </c>
      <c r="D24" s="34">
        <f t="shared" si="0"/>
        <v>14307</v>
      </c>
      <c r="E24" s="34">
        <f t="shared" si="0"/>
        <v>4271</v>
      </c>
      <c r="F24" s="34">
        <f t="shared" si="0"/>
        <v>15080</v>
      </c>
      <c r="G24" s="35">
        <f t="shared" si="0"/>
        <v>13882</v>
      </c>
      <c r="H24" s="30">
        <f t="shared" si="0"/>
        <v>129462</v>
      </c>
      <c r="I24" s="34">
        <f t="shared" si="0"/>
        <v>1158</v>
      </c>
      <c r="J24" s="36">
        <f t="shared" si="0"/>
        <v>130620</v>
      </c>
    </row>
    <row r="25" spans="1:10" x14ac:dyDescent="0.25">
      <c r="A25" s="18" t="s">
        <v>17</v>
      </c>
      <c r="B25" s="5">
        <v>2068</v>
      </c>
      <c r="C25" s="6">
        <v>1570</v>
      </c>
      <c r="D25" s="6">
        <v>351</v>
      </c>
      <c r="E25" s="6">
        <v>174</v>
      </c>
      <c r="F25" s="6">
        <v>1887</v>
      </c>
      <c r="G25" s="25">
        <v>948</v>
      </c>
      <c r="H25" s="32">
        <v>6998</v>
      </c>
      <c r="I25" s="5">
        <v>75</v>
      </c>
      <c r="J25" s="23">
        <v>7073</v>
      </c>
    </row>
    <row r="26" spans="1:10" x14ac:dyDescent="0.25">
      <c r="A26" s="18" t="s">
        <v>18</v>
      </c>
      <c r="B26" s="4">
        <v>7375</v>
      </c>
      <c r="C26" s="2">
        <v>5703</v>
      </c>
      <c r="D26" s="2">
        <v>896</v>
      </c>
      <c r="E26" s="2">
        <v>518</v>
      </c>
      <c r="F26" s="2">
        <v>4419</v>
      </c>
      <c r="G26" s="26">
        <v>2912</v>
      </c>
      <c r="H26" s="32">
        <v>21823</v>
      </c>
      <c r="I26" s="4">
        <v>127</v>
      </c>
      <c r="J26" s="23">
        <v>21950</v>
      </c>
    </row>
    <row r="27" spans="1:10" x14ac:dyDescent="0.25">
      <c r="A27" s="18" t="s">
        <v>19</v>
      </c>
      <c r="B27" s="4">
        <v>21541</v>
      </c>
      <c r="C27" s="2">
        <v>15467</v>
      </c>
      <c r="D27" s="2">
        <v>3654</v>
      </c>
      <c r="E27" s="2">
        <v>1038</v>
      </c>
      <c r="F27" s="2">
        <v>14732</v>
      </c>
      <c r="G27" s="26">
        <v>8328</v>
      </c>
      <c r="H27" s="32">
        <v>64760</v>
      </c>
      <c r="I27" s="4">
        <v>694</v>
      </c>
      <c r="J27" s="23">
        <v>65454</v>
      </c>
    </row>
    <row r="28" spans="1:10" x14ac:dyDescent="0.25">
      <c r="A28" s="18" t="s">
        <v>20</v>
      </c>
      <c r="B28" s="4">
        <v>39090</v>
      </c>
      <c r="C28" s="2">
        <v>19924</v>
      </c>
      <c r="D28" s="2">
        <v>10368</v>
      </c>
      <c r="E28" s="2">
        <v>2091</v>
      </c>
      <c r="F28" s="2">
        <v>18503</v>
      </c>
      <c r="G28" s="26">
        <v>12060</v>
      </c>
      <c r="H28" s="32">
        <v>102036</v>
      </c>
      <c r="I28" s="4">
        <v>1440</v>
      </c>
      <c r="J28" s="23">
        <v>103476</v>
      </c>
    </row>
    <row r="29" spans="1:10" x14ac:dyDescent="0.25">
      <c r="A29" s="18" t="s">
        <v>21</v>
      </c>
      <c r="B29" s="4">
        <v>64451</v>
      </c>
      <c r="C29" s="2">
        <v>33699</v>
      </c>
      <c r="D29" s="2">
        <v>13260</v>
      </c>
      <c r="E29" s="2">
        <v>4440</v>
      </c>
      <c r="F29" s="2">
        <v>19459</v>
      </c>
      <c r="G29" s="26">
        <v>10927</v>
      </c>
      <c r="H29" s="32">
        <v>146236</v>
      </c>
      <c r="I29" s="4">
        <v>1713</v>
      </c>
      <c r="J29" s="23">
        <v>147949</v>
      </c>
    </row>
    <row r="30" spans="1:10" x14ac:dyDescent="0.25">
      <c r="A30" s="18" t="s">
        <v>22</v>
      </c>
      <c r="B30" s="4">
        <v>94182</v>
      </c>
      <c r="C30" s="2">
        <v>54611</v>
      </c>
      <c r="D30" s="2">
        <v>7410</v>
      </c>
      <c r="E30" s="2">
        <v>6528</v>
      </c>
      <c r="F30" s="2">
        <v>15900</v>
      </c>
      <c r="G30" s="26">
        <v>14339</v>
      </c>
      <c r="H30" s="32">
        <v>192970</v>
      </c>
      <c r="I30" s="4">
        <v>1535</v>
      </c>
      <c r="J30" s="23">
        <v>194505</v>
      </c>
    </row>
    <row r="31" spans="1:10" x14ac:dyDescent="0.25">
      <c r="A31" s="18" t="s">
        <v>23</v>
      </c>
      <c r="B31" s="4">
        <v>39268</v>
      </c>
      <c r="C31" s="2">
        <v>16632</v>
      </c>
      <c r="D31" s="2">
        <v>4513</v>
      </c>
      <c r="E31" s="2">
        <v>14157</v>
      </c>
      <c r="F31" s="2">
        <v>12976</v>
      </c>
      <c r="G31" s="26">
        <v>3189</v>
      </c>
      <c r="H31" s="32">
        <v>90735</v>
      </c>
      <c r="I31" s="4">
        <v>101</v>
      </c>
      <c r="J31" s="23">
        <v>90836</v>
      </c>
    </row>
    <row r="32" spans="1:10" x14ac:dyDescent="0.25">
      <c r="A32" s="18" t="s">
        <v>24</v>
      </c>
      <c r="B32" s="4">
        <v>20252</v>
      </c>
      <c r="C32" s="2">
        <v>8209</v>
      </c>
      <c r="D32" s="2">
        <v>1227</v>
      </c>
      <c r="E32" s="2">
        <v>3896</v>
      </c>
      <c r="F32" s="2">
        <v>365</v>
      </c>
      <c r="G32" s="26">
        <v>745</v>
      </c>
      <c r="H32" s="32">
        <v>34694</v>
      </c>
      <c r="I32" s="4">
        <v>1</v>
      </c>
      <c r="J32" s="23">
        <v>34695</v>
      </c>
    </row>
    <row r="33" spans="1:10" x14ac:dyDescent="0.25">
      <c r="A33" s="18" t="s">
        <v>25</v>
      </c>
      <c r="B33" s="2">
        <v>15175</v>
      </c>
      <c r="C33" s="2">
        <v>7028</v>
      </c>
      <c r="D33" s="2">
        <v>872</v>
      </c>
      <c r="E33" s="2">
        <v>1140</v>
      </c>
      <c r="F33" s="2">
        <v>913</v>
      </c>
      <c r="G33" s="26">
        <v>811</v>
      </c>
      <c r="H33" s="32">
        <v>25939</v>
      </c>
      <c r="I33" s="4">
        <v>0</v>
      </c>
      <c r="J33" s="23">
        <v>25939</v>
      </c>
    </row>
    <row r="34" spans="1:10" x14ac:dyDescent="0.25">
      <c r="A34" s="18" t="s">
        <v>42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303402</v>
      </c>
      <c r="C36" s="34">
        <f t="shared" ref="C36:I36" si="1">SUM(C25:C34)</f>
        <v>162843</v>
      </c>
      <c r="D36" s="34">
        <f t="shared" si="1"/>
        <v>42551</v>
      </c>
      <c r="E36" s="34">
        <f t="shared" si="1"/>
        <v>33982</v>
      </c>
      <c r="F36" s="34">
        <f t="shared" si="1"/>
        <v>89154</v>
      </c>
      <c r="G36" s="35">
        <f t="shared" si="1"/>
        <v>54259</v>
      </c>
      <c r="H36" s="30">
        <f t="shared" si="1"/>
        <v>686191</v>
      </c>
      <c r="I36" s="34">
        <f t="shared" si="1"/>
        <v>5686</v>
      </c>
      <c r="J36" s="36">
        <f>SUM(J25:J35)</f>
        <v>691877</v>
      </c>
    </row>
    <row r="37" spans="1:10" ht="16.5" thickTop="1" thickBot="1" x14ac:dyDescent="0.3">
      <c r="A37" s="11" t="s">
        <v>27</v>
      </c>
      <c r="B37" s="37">
        <f t="shared" ref="B37:J37" si="2">SUM(B24,B36)</f>
        <v>348621</v>
      </c>
      <c r="C37" s="37">
        <f t="shared" si="2"/>
        <v>199546</v>
      </c>
      <c r="D37" s="37">
        <f t="shared" si="2"/>
        <v>56858</v>
      </c>
      <c r="E37" s="37">
        <f t="shared" si="2"/>
        <v>38253</v>
      </c>
      <c r="F37" s="37">
        <f t="shared" si="2"/>
        <v>104234</v>
      </c>
      <c r="G37" s="38">
        <f t="shared" si="2"/>
        <v>68141</v>
      </c>
      <c r="H37" s="40">
        <f t="shared" si="2"/>
        <v>815653</v>
      </c>
      <c r="I37" s="37">
        <f t="shared" si="2"/>
        <v>6844</v>
      </c>
      <c r="J37" s="39">
        <f t="shared" si="2"/>
        <v>822497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45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0</v>
      </c>
      <c r="D8" s="57">
        <v>0</v>
      </c>
      <c r="E8" s="57">
        <v>1</v>
      </c>
      <c r="F8" s="57">
        <v>2</v>
      </c>
      <c r="G8" s="57">
        <v>0</v>
      </c>
      <c r="H8" s="32">
        <v>5</v>
      </c>
      <c r="I8" s="4">
        <v>0</v>
      </c>
      <c r="J8" s="19">
        <v>5</v>
      </c>
    </row>
    <row r="9" spans="1:10" x14ac:dyDescent="0.25">
      <c r="A9" s="18" t="s">
        <v>3</v>
      </c>
      <c r="B9" s="57">
        <v>64</v>
      </c>
      <c r="C9" s="57">
        <v>34</v>
      </c>
      <c r="D9" s="57">
        <v>17</v>
      </c>
      <c r="E9" s="57">
        <v>4</v>
      </c>
      <c r="F9" s="57">
        <v>44</v>
      </c>
      <c r="G9" s="57">
        <v>27</v>
      </c>
      <c r="H9" s="32">
        <v>190</v>
      </c>
      <c r="I9" s="4">
        <v>0</v>
      </c>
      <c r="J9" s="19">
        <v>190</v>
      </c>
    </row>
    <row r="10" spans="1:10" x14ac:dyDescent="0.25">
      <c r="A10" s="18" t="s">
        <v>4</v>
      </c>
      <c r="B10" s="57">
        <v>162</v>
      </c>
      <c r="C10" s="57">
        <v>78</v>
      </c>
      <c r="D10" s="57">
        <v>25</v>
      </c>
      <c r="E10" s="57">
        <v>6</v>
      </c>
      <c r="F10" s="57">
        <v>121</v>
      </c>
      <c r="G10" s="57">
        <v>57</v>
      </c>
      <c r="H10" s="32">
        <v>449</v>
      </c>
      <c r="I10" s="4">
        <v>1</v>
      </c>
      <c r="J10" s="19">
        <v>450</v>
      </c>
    </row>
    <row r="11" spans="1:10" x14ac:dyDescent="0.25">
      <c r="A11" s="18" t="s">
        <v>5</v>
      </c>
      <c r="B11" s="58">
        <v>1452</v>
      </c>
      <c r="C11" s="58">
        <v>1875</v>
      </c>
      <c r="D11" s="58">
        <v>1207</v>
      </c>
      <c r="E11" s="57">
        <v>294</v>
      </c>
      <c r="F11" s="58">
        <v>988</v>
      </c>
      <c r="G11" s="58">
        <v>1054</v>
      </c>
      <c r="H11" s="32">
        <v>6870</v>
      </c>
      <c r="I11" s="4">
        <v>37</v>
      </c>
      <c r="J11" s="19">
        <v>6907</v>
      </c>
    </row>
    <row r="12" spans="1:10" x14ac:dyDescent="0.25">
      <c r="A12" s="18" t="s">
        <v>6</v>
      </c>
      <c r="B12" s="58">
        <v>3531</v>
      </c>
      <c r="C12" s="58">
        <v>5178</v>
      </c>
      <c r="D12" s="58">
        <v>3124</v>
      </c>
      <c r="E12" s="57">
        <v>785</v>
      </c>
      <c r="F12" s="58">
        <v>3803</v>
      </c>
      <c r="G12" s="58">
        <v>3944</v>
      </c>
      <c r="H12" s="32">
        <v>20365</v>
      </c>
      <c r="I12" s="4">
        <v>152</v>
      </c>
      <c r="J12" s="19">
        <v>20517</v>
      </c>
    </row>
    <row r="13" spans="1:10" x14ac:dyDescent="0.25">
      <c r="A13" s="18" t="s">
        <v>7</v>
      </c>
      <c r="B13" s="58">
        <v>6539</v>
      </c>
      <c r="C13" s="58">
        <v>7270</v>
      </c>
      <c r="D13" s="58">
        <v>4649</v>
      </c>
      <c r="E13" s="58">
        <v>1183</v>
      </c>
      <c r="F13" s="58">
        <v>4212</v>
      </c>
      <c r="G13" s="58">
        <v>5025</v>
      </c>
      <c r="H13" s="32">
        <v>28878</v>
      </c>
      <c r="I13" s="4">
        <v>291</v>
      </c>
      <c r="J13" s="19">
        <v>29169</v>
      </c>
    </row>
    <row r="14" spans="1:10" x14ac:dyDescent="0.25">
      <c r="A14" s="18" t="s">
        <v>8</v>
      </c>
      <c r="B14" s="58">
        <v>10623</v>
      </c>
      <c r="C14" s="58">
        <v>10784</v>
      </c>
      <c r="D14" s="58">
        <v>4040</v>
      </c>
      <c r="E14" s="58">
        <v>1209</v>
      </c>
      <c r="F14" s="58">
        <v>3711</v>
      </c>
      <c r="G14" s="58">
        <v>2895</v>
      </c>
      <c r="H14" s="32">
        <v>33262</v>
      </c>
      <c r="I14" s="4">
        <v>408</v>
      </c>
      <c r="J14" s="19">
        <v>33670</v>
      </c>
    </row>
    <row r="15" spans="1:10" x14ac:dyDescent="0.25">
      <c r="A15" s="18" t="s">
        <v>9</v>
      </c>
      <c r="B15" s="58">
        <v>9487</v>
      </c>
      <c r="C15" s="58">
        <v>5956</v>
      </c>
      <c r="D15" s="57">
        <v>732</v>
      </c>
      <c r="E15" s="57">
        <v>279</v>
      </c>
      <c r="F15" s="58">
        <v>1132</v>
      </c>
      <c r="G15" s="57">
        <v>569</v>
      </c>
      <c r="H15" s="32">
        <v>18155</v>
      </c>
      <c r="I15" s="4">
        <v>102</v>
      </c>
      <c r="J15" s="19">
        <v>18257</v>
      </c>
    </row>
    <row r="16" spans="1:10" x14ac:dyDescent="0.25">
      <c r="A16" s="18" t="s">
        <v>10</v>
      </c>
      <c r="B16" s="58">
        <v>4663</v>
      </c>
      <c r="C16" s="58">
        <v>2196</v>
      </c>
      <c r="D16" s="57">
        <v>426</v>
      </c>
      <c r="E16" s="57">
        <v>305</v>
      </c>
      <c r="F16" s="58">
        <v>1141</v>
      </c>
      <c r="G16" s="57">
        <v>343</v>
      </c>
      <c r="H16" s="32">
        <v>9074</v>
      </c>
      <c r="I16" s="4">
        <v>26</v>
      </c>
      <c r="J16" s="19">
        <v>9100</v>
      </c>
    </row>
    <row r="17" spans="1:10" x14ac:dyDescent="0.25">
      <c r="A17" s="18" t="s">
        <v>11</v>
      </c>
      <c r="B17" s="57">
        <v>392</v>
      </c>
      <c r="C17" s="57">
        <v>106</v>
      </c>
      <c r="D17" s="57">
        <v>3</v>
      </c>
      <c r="E17" s="57">
        <v>15</v>
      </c>
      <c r="F17" s="57">
        <v>0</v>
      </c>
      <c r="G17" s="57">
        <v>0</v>
      </c>
      <c r="H17" s="32">
        <v>516</v>
      </c>
      <c r="I17" s="4">
        <v>0</v>
      </c>
      <c r="J17" s="19">
        <v>516</v>
      </c>
    </row>
    <row r="18" spans="1:10" x14ac:dyDescent="0.25">
      <c r="A18" s="18" t="s">
        <v>12</v>
      </c>
      <c r="B18" s="58">
        <v>1429</v>
      </c>
      <c r="C18" s="57">
        <v>518</v>
      </c>
      <c r="D18" s="57">
        <v>13</v>
      </c>
      <c r="E18" s="57">
        <v>38</v>
      </c>
      <c r="F18" s="57">
        <v>0</v>
      </c>
      <c r="G18" s="57">
        <v>0</v>
      </c>
      <c r="H18" s="32">
        <v>1998</v>
      </c>
      <c r="I18" s="4">
        <v>23</v>
      </c>
      <c r="J18" s="19">
        <v>2021</v>
      </c>
    </row>
    <row r="19" spans="1:10" x14ac:dyDescent="0.25">
      <c r="A19" s="18" t="s">
        <v>13</v>
      </c>
      <c r="B19" s="58">
        <v>2096</v>
      </c>
      <c r="C19" s="57">
        <v>943</v>
      </c>
      <c r="D19" s="57">
        <v>40</v>
      </c>
      <c r="E19" s="57">
        <v>68</v>
      </c>
      <c r="F19" s="57">
        <v>0</v>
      </c>
      <c r="G19" s="57">
        <v>0</v>
      </c>
      <c r="H19" s="32">
        <v>3147</v>
      </c>
      <c r="I19" s="4">
        <v>52</v>
      </c>
      <c r="J19" s="19">
        <v>3199</v>
      </c>
    </row>
    <row r="20" spans="1:10" x14ac:dyDescent="0.25">
      <c r="A20" s="18" t="s">
        <v>14</v>
      </c>
      <c r="B20" s="58">
        <v>3553</v>
      </c>
      <c r="C20" s="58">
        <v>1377</v>
      </c>
      <c r="D20" s="57">
        <v>31</v>
      </c>
      <c r="E20" s="57">
        <v>95</v>
      </c>
      <c r="F20" s="57">
        <v>0</v>
      </c>
      <c r="G20" s="57">
        <v>0</v>
      </c>
      <c r="H20" s="32">
        <v>5056</v>
      </c>
      <c r="I20" s="4">
        <v>58</v>
      </c>
      <c r="J20" s="19">
        <v>5114</v>
      </c>
    </row>
    <row r="21" spans="1:10" x14ac:dyDescent="0.25">
      <c r="A21" s="18" t="s">
        <v>15</v>
      </c>
      <c r="B21" s="58">
        <v>1097</v>
      </c>
      <c r="C21" s="57">
        <v>407</v>
      </c>
      <c r="D21" s="57">
        <v>0</v>
      </c>
      <c r="E21" s="57">
        <v>31</v>
      </c>
      <c r="F21" s="57">
        <v>0</v>
      </c>
      <c r="G21" s="57">
        <v>0</v>
      </c>
      <c r="H21" s="32">
        <v>1535</v>
      </c>
      <c r="I21" s="4">
        <v>0</v>
      </c>
      <c r="J21" s="19">
        <v>1535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45092</v>
      </c>
      <c r="C24" s="34">
        <f t="shared" ref="C24:J24" si="0">SUM(C7:C22)</f>
        <v>36722</v>
      </c>
      <c r="D24" s="34">
        <f t="shared" si="0"/>
        <v>14307</v>
      </c>
      <c r="E24" s="34">
        <f t="shared" si="0"/>
        <v>4313</v>
      </c>
      <c r="F24" s="34">
        <f t="shared" si="0"/>
        <v>15154</v>
      </c>
      <c r="G24" s="35">
        <f t="shared" si="0"/>
        <v>13914</v>
      </c>
      <c r="H24" s="30">
        <f t="shared" si="0"/>
        <v>129502</v>
      </c>
      <c r="I24" s="34">
        <f t="shared" si="0"/>
        <v>1150</v>
      </c>
      <c r="J24" s="36">
        <f t="shared" si="0"/>
        <v>130652</v>
      </c>
    </row>
    <row r="25" spans="1:10" x14ac:dyDescent="0.25">
      <c r="A25" s="18" t="s">
        <v>17</v>
      </c>
      <c r="B25" s="5">
        <v>2082</v>
      </c>
      <c r="C25" s="6">
        <v>1556</v>
      </c>
      <c r="D25" s="6">
        <v>351</v>
      </c>
      <c r="E25" s="6">
        <v>174</v>
      </c>
      <c r="F25" s="6">
        <v>1885</v>
      </c>
      <c r="G25" s="25">
        <v>946</v>
      </c>
      <c r="H25" s="32">
        <v>6994</v>
      </c>
      <c r="I25" s="5">
        <v>73</v>
      </c>
      <c r="J25" s="23">
        <v>7067</v>
      </c>
    </row>
    <row r="26" spans="1:10" x14ac:dyDescent="0.25">
      <c r="A26" s="18" t="s">
        <v>18</v>
      </c>
      <c r="B26" s="4">
        <v>7357</v>
      </c>
      <c r="C26" s="2">
        <v>5678</v>
      </c>
      <c r="D26" s="2">
        <v>905</v>
      </c>
      <c r="E26" s="2">
        <v>522</v>
      </c>
      <c r="F26" s="2">
        <v>4424</v>
      </c>
      <c r="G26" s="26">
        <v>2901</v>
      </c>
      <c r="H26" s="32">
        <v>21787</v>
      </c>
      <c r="I26" s="4">
        <v>127</v>
      </c>
      <c r="J26" s="23">
        <v>21914</v>
      </c>
    </row>
    <row r="27" spans="1:10" x14ac:dyDescent="0.25">
      <c r="A27" s="18" t="s">
        <v>19</v>
      </c>
      <c r="B27" s="4">
        <v>21434</v>
      </c>
      <c r="C27" s="2">
        <v>15334</v>
      </c>
      <c r="D27" s="2">
        <v>3658</v>
      </c>
      <c r="E27" s="2">
        <v>1043</v>
      </c>
      <c r="F27" s="2">
        <v>14737</v>
      </c>
      <c r="G27" s="26">
        <v>8327</v>
      </c>
      <c r="H27" s="32">
        <v>64533</v>
      </c>
      <c r="I27" s="4">
        <v>689</v>
      </c>
      <c r="J27" s="23">
        <v>65222</v>
      </c>
    </row>
    <row r="28" spans="1:10" x14ac:dyDescent="0.25">
      <c r="A28" s="18" t="s">
        <v>20</v>
      </c>
      <c r="B28" s="4">
        <v>39064</v>
      </c>
      <c r="C28" s="2">
        <v>20226</v>
      </c>
      <c r="D28" s="2">
        <v>10346</v>
      </c>
      <c r="E28" s="2">
        <v>2104</v>
      </c>
      <c r="F28" s="2">
        <v>18497</v>
      </c>
      <c r="G28" s="26">
        <v>12026</v>
      </c>
      <c r="H28" s="32">
        <v>102263</v>
      </c>
      <c r="I28" s="4">
        <v>1454</v>
      </c>
      <c r="J28" s="23">
        <v>103717</v>
      </c>
    </row>
    <row r="29" spans="1:10" x14ac:dyDescent="0.25">
      <c r="A29" s="18" t="s">
        <v>21</v>
      </c>
      <c r="B29" s="4">
        <v>64386</v>
      </c>
      <c r="C29" s="2">
        <v>33149</v>
      </c>
      <c r="D29" s="2">
        <v>13401</v>
      </c>
      <c r="E29" s="2">
        <v>4262</v>
      </c>
      <c r="F29" s="2">
        <v>19448</v>
      </c>
      <c r="G29" s="26">
        <v>11045</v>
      </c>
      <c r="H29" s="32">
        <v>145691</v>
      </c>
      <c r="I29" s="4">
        <v>1710</v>
      </c>
      <c r="J29" s="23">
        <v>147401</v>
      </c>
    </row>
    <row r="30" spans="1:10" x14ac:dyDescent="0.25">
      <c r="A30" s="18" t="s">
        <v>22</v>
      </c>
      <c r="B30" s="4">
        <v>94750</v>
      </c>
      <c r="C30" s="2">
        <v>54892</v>
      </c>
      <c r="D30" s="2">
        <v>7552</v>
      </c>
      <c r="E30" s="2">
        <v>6414</v>
      </c>
      <c r="F30" s="2">
        <v>15815</v>
      </c>
      <c r="G30" s="26">
        <v>14221</v>
      </c>
      <c r="H30" s="32">
        <v>193644</v>
      </c>
      <c r="I30" s="4">
        <v>1497</v>
      </c>
      <c r="J30" s="23">
        <v>195141</v>
      </c>
    </row>
    <row r="31" spans="1:10" x14ac:dyDescent="0.25">
      <c r="A31" s="18" t="s">
        <v>23</v>
      </c>
      <c r="B31" s="4">
        <v>39168</v>
      </c>
      <c r="C31" s="2">
        <v>16655</v>
      </c>
      <c r="D31" s="2">
        <v>4507</v>
      </c>
      <c r="E31" s="2">
        <v>14513</v>
      </c>
      <c r="F31" s="2">
        <v>12762</v>
      </c>
      <c r="G31" s="26">
        <v>3243</v>
      </c>
      <c r="H31" s="32">
        <v>90848</v>
      </c>
      <c r="I31" s="4">
        <v>93</v>
      </c>
      <c r="J31" s="23">
        <v>90941</v>
      </c>
    </row>
    <row r="32" spans="1:10" x14ac:dyDescent="0.25">
      <c r="A32" s="18" t="s">
        <v>24</v>
      </c>
      <c r="B32" s="4">
        <v>20007</v>
      </c>
      <c r="C32" s="2">
        <v>8398</v>
      </c>
      <c r="D32" s="2">
        <v>1236</v>
      </c>
      <c r="E32" s="2">
        <v>3452</v>
      </c>
      <c r="F32" s="2">
        <v>375</v>
      </c>
      <c r="G32" s="26">
        <v>747</v>
      </c>
      <c r="H32" s="32">
        <v>34215</v>
      </c>
      <c r="I32" s="4">
        <v>1</v>
      </c>
      <c r="J32" s="23">
        <v>34216</v>
      </c>
    </row>
    <row r="33" spans="1:10" x14ac:dyDescent="0.25">
      <c r="A33" s="18" t="s">
        <v>25</v>
      </c>
      <c r="B33" s="2">
        <v>15123</v>
      </c>
      <c r="C33" s="2">
        <v>6951</v>
      </c>
      <c r="D33" s="2">
        <v>912</v>
      </c>
      <c r="E33" s="2">
        <v>1272</v>
      </c>
      <c r="F33" s="2">
        <v>998</v>
      </c>
      <c r="G33" s="26">
        <v>815</v>
      </c>
      <c r="H33" s="32">
        <v>26071</v>
      </c>
      <c r="I33" s="4">
        <v>0</v>
      </c>
      <c r="J33" s="23">
        <v>26071</v>
      </c>
    </row>
    <row r="34" spans="1:10" x14ac:dyDescent="0.25">
      <c r="A34" s="18" t="s">
        <v>46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303371</v>
      </c>
      <c r="C36" s="34">
        <f t="shared" ref="C36:J36" si="1">SUM(C25:C34)</f>
        <v>162839</v>
      </c>
      <c r="D36" s="34">
        <f t="shared" si="1"/>
        <v>42868</v>
      </c>
      <c r="E36" s="34">
        <f t="shared" si="1"/>
        <v>33756</v>
      </c>
      <c r="F36" s="34">
        <f t="shared" si="1"/>
        <v>88941</v>
      </c>
      <c r="G36" s="35">
        <f t="shared" si="1"/>
        <v>54271</v>
      </c>
      <c r="H36" s="30">
        <f t="shared" si="1"/>
        <v>686046</v>
      </c>
      <c r="I36" s="34">
        <f t="shared" si="1"/>
        <v>5644</v>
      </c>
      <c r="J36" s="36">
        <f t="shared" si="1"/>
        <v>691690</v>
      </c>
    </row>
    <row r="37" spans="1:10" ht="16.5" thickTop="1" thickBot="1" x14ac:dyDescent="0.3">
      <c r="A37" s="11" t="s">
        <v>27</v>
      </c>
      <c r="B37" s="37">
        <f t="shared" ref="B37:J37" si="2">SUM(B24,B36)</f>
        <v>348463</v>
      </c>
      <c r="C37" s="37">
        <f t="shared" si="2"/>
        <v>199561</v>
      </c>
      <c r="D37" s="37">
        <f t="shared" si="2"/>
        <v>57175</v>
      </c>
      <c r="E37" s="37">
        <f t="shared" si="2"/>
        <v>38069</v>
      </c>
      <c r="F37" s="37">
        <f t="shared" si="2"/>
        <v>104095</v>
      </c>
      <c r="G37" s="38">
        <f t="shared" si="2"/>
        <v>68185</v>
      </c>
      <c r="H37" s="40">
        <f t="shared" si="2"/>
        <v>815548</v>
      </c>
      <c r="I37" s="37">
        <f t="shared" si="2"/>
        <v>6794</v>
      </c>
      <c r="J37" s="59">
        <f t="shared" si="2"/>
        <v>822342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50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0</v>
      </c>
      <c r="D8" s="57">
        <v>0</v>
      </c>
      <c r="E8" s="57">
        <v>1</v>
      </c>
      <c r="F8" s="57">
        <v>3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65</v>
      </c>
      <c r="C9" s="57">
        <v>33</v>
      </c>
      <c r="D9" s="57">
        <v>17</v>
      </c>
      <c r="E9" s="57">
        <v>4</v>
      </c>
      <c r="F9" s="57">
        <v>42</v>
      </c>
      <c r="G9" s="57">
        <v>26</v>
      </c>
      <c r="H9" s="32">
        <v>187</v>
      </c>
      <c r="I9" s="4">
        <v>0</v>
      </c>
      <c r="J9" s="19">
        <v>187</v>
      </c>
    </row>
    <row r="10" spans="1:10" x14ac:dyDescent="0.25">
      <c r="A10" s="18" t="s">
        <v>4</v>
      </c>
      <c r="B10" s="57">
        <v>169</v>
      </c>
      <c r="C10" s="57">
        <v>80</v>
      </c>
      <c r="D10" s="57">
        <v>25</v>
      </c>
      <c r="E10" s="57">
        <v>8</v>
      </c>
      <c r="F10" s="57">
        <v>132</v>
      </c>
      <c r="G10" s="57">
        <v>58</v>
      </c>
      <c r="H10" s="32">
        <v>472</v>
      </c>
      <c r="I10" s="4">
        <v>1</v>
      </c>
      <c r="J10" s="19">
        <v>473</v>
      </c>
    </row>
    <row r="11" spans="1:10" x14ac:dyDescent="0.25">
      <c r="A11" s="18" t="s">
        <v>5</v>
      </c>
      <c r="B11" s="58">
        <v>1431</v>
      </c>
      <c r="C11" s="58">
        <v>1882</v>
      </c>
      <c r="D11" s="58">
        <v>1210</v>
      </c>
      <c r="E11" s="57">
        <v>293</v>
      </c>
      <c r="F11" s="58">
        <v>976</v>
      </c>
      <c r="G11" s="58">
        <v>1081</v>
      </c>
      <c r="H11" s="32">
        <v>6873</v>
      </c>
      <c r="I11" s="4">
        <v>38</v>
      </c>
      <c r="J11" s="19">
        <v>6911</v>
      </c>
    </row>
    <row r="12" spans="1:10" x14ac:dyDescent="0.25">
      <c r="A12" s="18" t="s">
        <v>6</v>
      </c>
      <c r="B12" s="58">
        <v>3532</v>
      </c>
      <c r="C12" s="58">
        <v>5105</v>
      </c>
      <c r="D12" s="58">
        <v>3137</v>
      </c>
      <c r="E12" s="57">
        <v>786</v>
      </c>
      <c r="F12" s="58">
        <v>3874</v>
      </c>
      <c r="G12" s="58">
        <v>3898</v>
      </c>
      <c r="H12" s="32">
        <v>20332</v>
      </c>
      <c r="I12" s="4">
        <v>152</v>
      </c>
      <c r="J12" s="19">
        <v>20484</v>
      </c>
    </row>
    <row r="13" spans="1:10" x14ac:dyDescent="0.25">
      <c r="A13" s="18" t="s">
        <v>7</v>
      </c>
      <c r="B13" s="58">
        <v>6541</v>
      </c>
      <c r="C13" s="58">
        <v>7279</v>
      </c>
      <c r="D13" s="58">
        <v>4650</v>
      </c>
      <c r="E13" s="58">
        <v>1206</v>
      </c>
      <c r="F13" s="58">
        <v>4254</v>
      </c>
      <c r="G13" s="58">
        <v>5115</v>
      </c>
      <c r="H13" s="32">
        <v>29045</v>
      </c>
      <c r="I13" s="4">
        <v>287</v>
      </c>
      <c r="J13" s="19">
        <v>29332</v>
      </c>
    </row>
    <row r="14" spans="1:10" x14ac:dyDescent="0.25">
      <c r="A14" s="18" t="s">
        <v>8</v>
      </c>
      <c r="B14" s="58">
        <v>10603</v>
      </c>
      <c r="C14" s="58">
        <v>10745</v>
      </c>
      <c r="D14" s="58">
        <v>4135</v>
      </c>
      <c r="E14" s="58">
        <v>1239</v>
      </c>
      <c r="F14" s="58">
        <v>3671</v>
      </c>
      <c r="G14" s="58">
        <v>2856</v>
      </c>
      <c r="H14" s="32">
        <v>33249</v>
      </c>
      <c r="I14" s="4">
        <v>403</v>
      </c>
      <c r="J14" s="19">
        <v>33652</v>
      </c>
    </row>
    <row r="15" spans="1:10" x14ac:dyDescent="0.25">
      <c r="A15" s="18" t="s">
        <v>9</v>
      </c>
      <c r="B15" s="58">
        <v>9457</v>
      </c>
      <c r="C15" s="58">
        <v>6062</v>
      </c>
      <c r="D15" s="57">
        <v>707</v>
      </c>
      <c r="E15" s="57">
        <v>247</v>
      </c>
      <c r="F15" s="58">
        <v>1197</v>
      </c>
      <c r="G15" s="57">
        <v>525</v>
      </c>
      <c r="H15" s="32">
        <v>18195</v>
      </c>
      <c r="I15" s="4">
        <v>100</v>
      </c>
      <c r="J15" s="19">
        <v>18295</v>
      </c>
    </row>
    <row r="16" spans="1:10" x14ac:dyDescent="0.25">
      <c r="A16" s="18" t="s">
        <v>10</v>
      </c>
      <c r="B16" s="58">
        <v>4595</v>
      </c>
      <c r="C16" s="58">
        <v>2626</v>
      </c>
      <c r="D16" s="57">
        <v>446</v>
      </c>
      <c r="E16" s="57">
        <v>308</v>
      </c>
      <c r="F16" s="58">
        <v>987</v>
      </c>
      <c r="G16" s="57">
        <v>338</v>
      </c>
      <c r="H16" s="32">
        <v>9300</v>
      </c>
      <c r="I16" s="4">
        <v>28</v>
      </c>
      <c r="J16" s="19">
        <v>9328</v>
      </c>
    </row>
    <row r="17" spans="1:10" x14ac:dyDescent="0.25">
      <c r="A17" s="18" t="s">
        <v>11</v>
      </c>
      <c r="B17" s="57">
        <v>395</v>
      </c>
      <c r="C17" s="57">
        <v>108</v>
      </c>
      <c r="D17" s="57">
        <v>3</v>
      </c>
      <c r="E17" s="57">
        <v>15</v>
      </c>
      <c r="F17" s="57">
        <v>0</v>
      </c>
      <c r="G17" s="57">
        <v>0</v>
      </c>
      <c r="H17" s="32">
        <v>521</v>
      </c>
      <c r="I17" s="4">
        <v>0</v>
      </c>
      <c r="J17" s="19">
        <v>521</v>
      </c>
    </row>
    <row r="18" spans="1:10" x14ac:dyDescent="0.25">
      <c r="A18" s="18" t="s">
        <v>12</v>
      </c>
      <c r="B18" s="58">
        <v>1426</v>
      </c>
      <c r="C18" s="57">
        <v>517</v>
      </c>
      <c r="D18" s="57">
        <v>14</v>
      </c>
      <c r="E18" s="57">
        <v>37</v>
      </c>
      <c r="F18" s="57">
        <v>0</v>
      </c>
      <c r="G18" s="57">
        <v>0</v>
      </c>
      <c r="H18" s="32">
        <v>1994</v>
      </c>
      <c r="I18" s="4">
        <v>22</v>
      </c>
      <c r="J18" s="19">
        <v>2016</v>
      </c>
    </row>
    <row r="19" spans="1:10" x14ac:dyDescent="0.25">
      <c r="A19" s="18" t="s">
        <v>13</v>
      </c>
      <c r="B19" s="58">
        <v>2123</v>
      </c>
      <c r="C19" s="57">
        <v>956</v>
      </c>
      <c r="D19" s="57">
        <v>37</v>
      </c>
      <c r="E19" s="57">
        <v>65</v>
      </c>
      <c r="F19" s="57">
        <v>0</v>
      </c>
      <c r="G19" s="57">
        <v>0</v>
      </c>
      <c r="H19" s="32">
        <v>3181</v>
      </c>
      <c r="I19" s="4">
        <v>52</v>
      </c>
      <c r="J19" s="19">
        <v>3233</v>
      </c>
    </row>
    <row r="20" spans="1:10" x14ac:dyDescent="0.25">
      <c r="A20" s="18" t="s">
        <v>14</v>
      </c>
      <c r="B20" s="58">
        <v>3516</v>
      </c>
      <c r="C20" s="58">
        <v>1391</v>
      </c>
      <c r="D20" s="57">
        <v>31</v>
      </c>
      <c r="E20" s="57">
        <v>93</v>
      </c>
      <c r="F20" s="57">
        <v>0</v>
      </c>
      <c r="G20" s="57">
        <v>0</v>
      </c>
      <c r="H20" s="32">
        <v>5031</v>
      </c>
      <c r="I20" s="4">
        <v>60</v>
      </c>
      <c r="J20" s="19">
        <v>5091</v>
      </c>
    </row>
    <row r="21" spans="1:10" x14ac:dyDescent="0.25">
      <c r="A21" s="18" t="s">
        <v>15</v>
      </c>
      <c r="B21" s="58">
        <v>1138</v>
      </c>
      <c r="C21" s="57">
        <v>413</v>
      </c>
      <c r="D21" s="57">
        <v>0</v>
      </c>
      <c r="E21" s="57">
        <v>31</v>
      </c>
      <c r="F21" s="57">
        <v>0</v>
      </c>
      <c r="G21" s="57">
        <v>0</v>
      </c>
      <c r="H21" s="32">
        <v>1582</v>
      </c>
      <c r="I21" s="4">
        <v>0</v>
      </c>
      <c r="J21" s="19">
        <v>1582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2</v>
      </c>
      <c r="G22" s="57">
        <v>0</v>
      </c>
      <c r="H22" s="32">
        <v>3</v>
      </c>
      <c r="I22" s="4">
        <v>0</v>
      </c>
      <c r="J22" s="19">
        <v>3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44995</v>
      </c>
      <c r="C24" s="34">
        <f t="shared" ref="C24:J24" si="0">SUM(C7:C22)</f>
        <v>37197</v>
      </c>
      <c r="D24" s="34">
        <f t="shared" si="0"/>
        <v>14412</v>
      </c>
      <c r="E24" s="34">
        <f t="shared" si="0"/>
        <v>4333</v>
      </c>
      <c r="F24" s="34">
        <f t="shared" si="0"/>
        <v>15138</v>
      </c>
      <c r="G24" s="35">
        <f t="shared" si="0"/>
        <v>13897</v>
      </c>
      <c r="H24" s="30">
        <f t="shared" si="0"/>
        <v>129972</v>
      </c>
      <c r="I24" s="34">
        <f t="shared" si="0"/>
        <v>1143</v>
      </c>
      <c r="J24" s="36">
        <f t="shared" si="0"/>
        <v>131115</v>
      </c>
    </row>
    <row r="25" spans="1:10" x14ac:dyDescent="0.25">
      <c r="A25" s="18" t="s">
        <v>17</v>
      </c>
      <c r="B25" s="5">
        <v>2072</v>
      </c>
      <c r="C25" s="6">
        <v>1600</v>
      </c>
      <c r="D25" s="6">
        <v>363</v>
      </c>
      <c r="E25" s="6">
        <v>176</v>
      </c>
      <c r="F25" s="6">
        <v>1904</v>
      </c>
      <c r="G25" s="25">
        <v>953</v>
      </c>
      <c r="H25" s="32">
        <v>7068</v>
      </c>
      <c r="I25" s="5">
        <v>73</v>
      </c>
      <c r="J25" s="23">
        <v>7141</v>
      </c>
    </row>
    <row r="26" spans="1:10" x14ac:dyDescent="0.25">
      <c r="A26" s="18" t="s">
        <v>18</v>
      </c>
      <c r="B26" s="4">
        <v>7352</v>
      </c>
      <c r="C26" s="2">
        <v>5531</v>
      </c>
      <c r="D26" s="2">
        <v>893</v>
      </c>
      <c r="E26" s="2">
        <v>527</v>
      </c>
      <c r="F26" s="2">
        <v>4427</v>
      </c>
      <c r="G26" s="26">
        <v>2905</v>
      </c>
      <c r="H26" s="32">
        <v>21635</v>
      </c>
      <c r="I26" s="4">
        <v>123</v>
      </c>
      <c r="J26" s="23">
        <v>21758</v>
      </c>
    </row>
    <row r="27" spans="1:10" x14ac:dyDescent="0.25">
      <c r="A27" s="18" t="s">
        <v>19</v>
      </c>
      <c r="B27" s="4">
        <v>21093</v>
      </c>
      <c r="C27" s="2">
        <v>15341</v>
      </c>
      <c r="D27" s="2">
        <v>3657</v>
      </c>
      <c r="E27" s="2">
        <v>1054</v>
      </c>
      <c r="F27" s="2">
        <v>14799</v>
      </c>
      <c r="G27" s="26">
        <v>8326</v>
      </c>
      <c r="H27" s="32">
        <v>64270</v>
      </c>
      <c r="I27" s="4">
        <v>680</v>
      </c>
      <c r="J27" s="23">
        <v>64950</v>
      </c>
    </row>
    <row r="28" spans="1:10" x14ac:dyDescent="0.25">
      <c r="A28" s="18" t="s">
        <v>20</v>
      </c>
      <c r="B28" s="4">
        <v>38849</v>
      </c>
      <c r="C28" s="2">
        <v>19942</v>
      </c>
      <c r="D28" s="2">
        <v>10314</v>
      </c>
      <c r="E28" s="2">
        <v>2104</v>
      </c>
      <c r="F28" s="2">
        <v>18491</v>
      </c>
      <c r="G28" s="26">
        <v>12086</v>
      </c>
      <c r="H28" s="32">
        <v>101786</v>
      </c>
      <c r="I28" s="4">
        <v>1453</v>
      </c>
      <c r="J28" s="23">
        <v>103239</v>
      </c>
    </row>
    <row r="29" spans="1:10" x14ac:dyDescent="0.25">
      <c r="A29" s="18" t="s">
        <v>21</v>
      </c>
      <c r="B29" s="4">
        <v>64064</v>
      </c>
      <c r="C29" s="2">
        <v>32981</v>
      </c>
      <c r="D29" s="2">
        <v>13585</v>
      </c>
      <c r="E29" s="2">
        <v>4607</v>
      </c>
      <c r="F29" s="2">
        <v>19488</v>
      </c>
      <c r="G29" s="26">
        <v>11398</v>
      </c>
      <c r="H29" s="32">
        <v>146123</v>
      </c>
      <c r="I29" s="4">
        <v>1696</v>
      </c>
      <c r="J29" s="23">
        <v>147819</v>
      </c>
    </row>
    <row r="30" spans="1:10" x14ac:dyDescent="0.25">
      <c r="A30" s="18" t="s">
        <v>22</v>
      </c>
      <c r="B30" s="4">
        <v>96217</v>
      </c>
      <c r="C30" s="2">
        <v>54910</v>
      </c>
      <c r="D30" s="2">
        <v>7687</v>
      </c>
      <c r="E30" s="2">
        <v>6512</v>
      </c>
      <c r="F30" s="2">
        <v>15806</v>
      </c>
      <c r="G30" s="26">
        <v>14039</v>
      </c>
      <c r="H30" s="32">
        <v>195171</v>
      </c>
      <c r="I30" s="4">
        <v>1449</v>
      </c>
      <c r="J30" s="23">
        <v>196620</v>
      </c>
    </row>
    <row r="31" spans="1:10" x14ac:dyDescent="0.25">
      <c r="A31" s="18" t="s">
        <v>23</v>
      </c>
      <c r="B31" s="4">
        <v>38906</v>
      </c>
      <c r="C31" s="2">
        <v>17285</v>
      </c>
      <c r="D31" s="2">
        <v>4462</v>
      </c>
      <c r="E31" s="2">
        <v>14226</v>
      </c>
      <c r="F31" s="2">
        <v>12541</v>
      </c>
      <c r="G31" s="26">
        <v>3266</v>
      </c>
      <c r="H31" s="32">
        <v>90686</v>
      </c>
      <c r="I31" s="4">
        <v>86</v>
      </c>
      <c r="J31" s="23">
        <v>90772</v>
      </c>
    </row>
    <row r="32" spans="1:10" x14ac:dyDescent="0.25">
      <c r="A32" s="18" t="s">
        <v>24</v>
      </c>
      <c r="B32" s="4">
        <v>19616</v>
      </c>
      <c r="C32" s="2">
        <v>7552</v>
      </c>
      <c r="D32" s="2">
        <v>1281</v>
      </c>
      <c r="E32" s="2">
        <v>3338</v>
      </c>
      <c r="F32" s="2">
        <v>393</v>
      </c>
      <c r="G32" s="26">
        <v>755</v>
      </c>
      <c r="H32" s="32">
        <v>32935</v>
      </c>
      <c r="I32" s="4">
        <v>1</v>
      </c>
      <c r="J32" s="23">
        <v>32936</v>
      </c>
    </row>
    <row r="33" spans="1:10" x14ac:dyDescent="0.25">
      <c r="A33" s="18" t="s">
        <v>25</v>
      </c>
      <c r="B33" s="2">
        <v>14283</v>
      </c>
      <c r="C33" s="2">
        <v>7169</v>
      </c>
      <c r="D33" s="2">
        <v>888</v>
      </c>
      <c r="E33" s="2">
        <v>1088</v>
      </c>
      <c r="F33" s="2">
        <v>1160</v>
      </c>
      <c r="G33" s="26">
        <v>876</v>
      </c>
      <c r="H33" s="32">
        <v>25464</v>
      </c>
      <c r="I33" s="4">
        <v>0</v>
      </c>
      <c r="J33" s="23">
        <v>25464</v>
      </c>
    </row>
    <row r="34" spans="1:10" x14ac:dyDescent="0.25">
      <c r="A34" s="18" t="s">
        <v>42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302452</v>
      </c>
      <c r="C36" s="34">
        <f t="shared" ref="C36:J36" si="1">SUM(C25:C34)</f>
        <v>162311</v>
      </c>
      <c r="D36" s="34">
        <f t="shared" si="1"/>
        <v>43130</v>
      </c>
      <c r="E36" s="34">
        <f t="shared" si="1"/>
        <v>33632</v>
      </c>
      <c r="F36" s="34">
        <f t="shared" si="1"/>
        <v>89009</v>
      </c>
      <c r="G36" s="35">
        <f t="shared" si="1"/>
        <v>54604</v>
      </c>
      <c r="H36" s="30">
        <f t="shared" si="1"/>
        <v>685138</v>
      </c>
      <c r="I36" s="34">
        <f t="shared" si="1"/>
        <v>5561</v>
      </c>
      <c r="J36" s="36">
        <f t="shared" si="1"/>
        <v>690699</v>
      </c>
    </row>
    <row r="37" spans="1:10" ht="16.5" thickTop="1" thickBot="1" x14ac:dyDescent="0.3">
      <c r="A37" s="11" t="s">
        <v>27</v>
      </c>
      <c r="B37" s="37">
        <f t="shared" ref="B37:J37" si="2">SUM(B24,B36)</f>
        <v>347447</v>
      </c>
      <c r="C37" s="37">
        <f t="shared" si="2"/>
        <v>199508</v>
      </c>
      <c r="D37" s="37">
        <f t="shared" si="2"/>
        <v>57542</v>
      </c>
      <c r="E37" s="37">
        <f t="shared" si="2"/>
        <v>37965</v>
      </c>
      <c r="F37" s="37">
        <f t="shared" si="2"/>
        <v>104147</v>
      </c>
      <c r="G37" s="38">
        <f t="shared" si="2"/>
        <v>68501</v>
      </c>
      <c r="H37" s="40">
        <f t="shared" si="2"/>
        <v>815110</v>
      </c>
      <c r="I37" s="37">
        <f t="shared" si="2"/>
        <v>6704</v>
      </c>
      <c r="J37" s="59">
        <f t="shared" si="2"/>
        <v>821814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52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0</v>
      </c>
      <c r="D8" s="57">
        <v>0</v>
      </c>
      <c r="E8" s="57">
        <v>1</v>
      </c>
      <c r="F8" s="57">
        <v>3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66</v>
      </c>
      <c r="C9" s="57">
        <v>35</v>
      </c>
      <c r="D9" s="57">
        <v>17</v>
      </c>
      <c r="E9" s="57">
        <v>4</v>
      </c>
      <c r="F9" s="57">
        <v>42</v>
      </c>
      <c r="G9" s="57">
        <v>26</v>
      </c>
      <c r="H9" s="32">
        <v>190</v>
      </c>
      <c r="I9" s="4">
        <v>0</v>
      </c>
      <c r="J9" s="19">
        <v>190</v>
      </c>
    </row>
    <row r="10" spans="1:10" x14ac:dyDescent="0.25">
      <c r="A10" s="18" t="s">
        <v>4</v>
      </c>
      <c r="B10" s="57">
        <v>168</v>
      </c>
      <c r="C10" s="57">
        <v>81</v>
      </c>
      <c r="D10" s="57">
        <v>25</v>
      </c>
      <c r="E10" s="57">
        <v>8</v>
      </c>
      <c r="F10" s="57">
        <v>133</v>
      </c>
      <c r="G10" s="57">
        <v>58</v>
      </c>
      <c r="H10" s="32">
        <v>473</v>
      </c>
      <c r="I10" s="4">
        <v>1</v>
      </c>
      <c r="J10" s="19">
        <v>474</v>
      </c>
    </row>
    <row r="11" spans="1:10" x14ac:dyDescent="0.25">
      <c r="A11" s="18" t="s">
        <v>5</v>
      </c>
      <c r="B11" s="58">
        <v>1417</v>
      </c>
      <c r="C11" s="58">
        <v>1790</v>
      </c>
      <c r="D11" s="58">
        <v>1218</v>
      </c>
      <c r="E11" s="57">
        <v>289</v>
      </c>
      <c r="F11" s="58">
        <v>963</v>
      </c>
      <c r="G11" s="58">
        <v>1065</v>
      </c>
      <c r="H11" s="32">
        <v>6742</v>
      </c>
      <c r="I11" s="4">
        <v>38</v>
      </c>
      <c r="J11" s="19">
        <v>6780</v>
      </c>
    </row>
    <row r="12" spans="1:10" x14ac:dyDescent="0.25">
      <c r="A12" s="18" t="s">
        <v>6</v>
      </c>
      <c r="B12" s="58">
        <v>3519</v>
      </c>
      <c r="C12" s="58">
        <v>5106</v>
      </c>
      <c r="D12" s="58">
        <v>3127</v>
      </c>
      <c r="E12" s="57">
        <v>779</v>
      </c>
      <c r="F12" s="58">
        <v>3931</v>
      </c>
      <c r="G12" s="58">
        <v>3833</v>
      </c>
      <c r="H12" s="32">
        <v>20295</v>
      </c>
      <c r="I12" s="4">
        <v>147</v>
      </c>
      <c r="J12" s="19">
        <v>20442</v>
      </c>
    </row>
    <row r="13" spans="1:10" x14ac:dyDescent="0.25">
      <c r="A13" s="18" t="s">
        <v>7</v>
      </c>
      <c r="B13" s="58">
        <v>6457</v>
      </c>
      <c r="C13" s="58">
        <v>7126</v>
      </c>
      <c r="D13" s="58">
        <v>4678</v>
      </c>
      <c r="E13" s="58">
        <v>1198</v>
      </c>
      <c r="F13" s="58">
        <v>4351</v>
      </c>
      <c r="G13" s="58">
        <v>5208</v>
      </c>
      <c r="H13" s="32">
        <v>29018</v>
      </c>
      <c r="I13" s="4">
        <v>285</v>
      </c>
      <c r="J13" s="19">
        <v>29303</v>
      </c>
    </row>
    <row r="14" spans="1:10" x14ac:dyDescent="0.25">
      <c r="A14" s="18" t="s">
        <v>8</v>
      </c>
      <c r="B14" s="58">
        <v>10566</v>
      </c>
      <c r="C14" s="58">
        <v>10933</v>
      </c>
      <c r="D14" s="58">
        <v>4078</v>
      </c>
      <c r="E14" s="58">
        <v>1265</v>
      </c>
      <c r="F14" s="58">
        <v>3499</v>
      </c>
      <c r="G14" s="58">
        <v>2780</v>
      </c>
      <c r="H14" s="32">
        <v>33121</v>
      </c>
      <c r="I14" s="4">
        <v>396</v>
      </c>
      <c r="J14" s="19">
        <v>33517</v>
      </c>
    </row>
    <row r="15" spans="1:10" x14ac:dyDescent="0.25">
      <c r="A15" s="18" t="s">
        <v>9</v>
      </c>
      <c r="B15" s="58">
        <v>9471</v>
      </c>
      <c r="C15" s="58">
        <v>6118</v>
      </c>
      <c r="D15" s="57">
        <v>704</v>
      </c>
      <c r="E15" s="57">
        <v>245</v>
      </c>
      <c r="F15" s="58">
        <v>1223</v>
      </c>
      <c r="G15" s="57">
        <v>577</v>
      </c>
      <c r="H15" s="32">
        <v>18338</v>
      </c>
      <c r="I15" s="4">
        <v>97</v>
      </c>
      <c r="J15" s="19">
        <v>18435</v>
      </c>
    </row>
    <row r="16" spans="1:10" x14ac:dyDescent="0.25">
      <c r="A16" s="18" t="s">
        <v>10</v>
      </c>
      <c r="B16" s="58">
        <v>4883</v>
      </c>
      <c r="C16" s="58">
        <v>2689</v>
      </c>
      <c r="D16" s="57">
        <v>424</v>
      </c>
      <c r="E16" s="57">
        <v>308</v>
      </c>
      <c r="F16" s="58">
        <v>1012</v>
      </c>
      <c r="G16" s="57">
        <v>331</v>
      </c>
      <c r="H16" s="32">
        <v>9647</v>
      </c>
      <c r="I16" s="4">
        <v>25</v>
      </c>
      <c r="J16" s="19">
        <v>9672</v>
      </c>
    </row>
    <row r="17" spans="1:10" x14ac:dyDescent="0.25">
      <c r="A17" s="18" t="s">
        <v>11</v>
      </c>
      <c r="B17" s="57">
        <v>394</v>
      </c>
      <c r="C17" s="57">
        <v>108</v>
      </c>
      <c r="D17" s="57">
        <v>2</v>
      </c>
      <c r="E17" s="57">
        <v>14</v>
      </c>
      <c r="F17" s="57">
        <v>0</v>
      </c>
      <c r="G17" s="57">
        <v>0</v>
      </c>
      <c r="H17" s="32">
        <v>518</v>
      </c>
      <c r="I17" s="4">
        <v>0</v>
      </c>
      <c r="J17" s="19">
        <v>518</v>
      </c>
    </row>
    <row r="18" spans="1:10" x14ac:dyDescent="0.25">
      <c r="A18" s="18" t="s">
        <v>12</v>
      </c>
      <c r="B18" s="58">
        <v>1406</v>
      </c>
      <c r="C18" s="57">
        <v>511</v>
      </c>
      <c r="D18" s="57">
        <v>14</v>
      </c>
      <c r="E18" s="57">
        <v>36</v>
      </c>
      <c r="F18" s="57">
        <v>0</v>
      </c>
      <c r="G18" s="57">
        <v>0</v>
      </c>
      <c r="H18" s="32">
        <v>1967</v>
      </c>
      <c r="I18" s="4">
        <v>21</v>
      </c>
      <c r="J18" s="19">
        <v>1988</v>
      </c>
    </row>
    <row r="19" spans="1:10" x14ac:dyDescent="0.25">
      <c r="A19" s="18" t="s">
        <v>13</v>
      </c>
      <c r="B19" s="58">
        <v>2113</v>
      </c>
      <c r="C19" s="57">
        <v>974</v>
      </c>
      <c r="D19" s="57">
        <v>37</v>
      </c>
      <c r="E19" s="57">
        <v>64</v>
      </c>
      <c r="F19" s="57">
        <v>0</v>
      </c>
      <c r="G19" s="57">
        <v>0</v>
      </c>
      <c r="H19" s="32">
        <v>3188</v>
      </c>
      <c r="I19" s="4">
        <v>52</v>
      </c>
      <c r="J19" s="19">
        <v>3240</v>
      </c>
    </row>
    <row r="20" spans="1:10" x14ac:dyDescent="0.25">
      <c r="A20" s="18" t="s">
        <v>14</v>
      </c>
      <c r="B20" s="58">
        <v>3514</v>
      </c>
      <c r="C20" s="58">
        <v>1382</v>
      </c>
      <c r="D20" s="57">
        <v>31</v>
      </c>
      <c r="E20" s="57">
        <v>92</v>
      </c>
      <c r="F20" s="57">
        <v>0</v>
      </c>
      <c r="G20" s="57">
        <v>0</v>
      </c>
      <c r="H20" s="32">
        <v>5019</v>
      </c>
      <c r="I20" s="4">
        <v>60</v>
      </c>
      <c r="J20" s="19">
        <v>5079</v>
      </c>
    </row>
    <row r="21" spans="1:10" x14ac:dyDescent="0.25">
      <c r="A21" s="18" t="s">
        <v>15</v>
      </c>
      <c r="B21" s="58">
        <v>1156</v>
      </c>
      <c r="C21" s="57">
        <v>407</v>
      </c>
      <c r="D21" s="57">
        <v>0</v>
      </c>
      <c r="E21" s="57">
        <v>31</v>
      </c>
      <c r="F21" s="57">
        <v>0</v>
      </c>
      <c r="G21" s="57">
        <v>0</v>
      </c>
      <c r="H21" s="32">
        <v>1594</v>
      </c>
      <c r="I21" s="4">
        <v>0</v>
      </c>
      <c r="J21" s="19">
        <v>1594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45134</v>
      </c>
      <c r="C24" s="34">
        <f>SUM(C7:C22)</f>
        <v>37260</v>
      </c>
      <c r="D24" s="34">
        <f>SUM(D7:D22)</f>
        <v>14355</v>
      </c>
      <c r="E24" s="34">
        <f>SUM(E7:E22)</f>
        <v>4334</v>
      </c>
      <c r="F24" s="34">
        <f>SUM(F7:F22)</f>
        <v>15157</v>
      </c>
      <c r="G24" s="35">
        <f>SUM(G7:G22)</f>
        <v>13878</v>
      </c>
      <c r="H24" s="30">
        <f>SUM(H7:H22)</f>
        <v>130118</v>
      </c>
      <c r="I24" s="34">
        <f>SUM(I7:I22)</f>
        <v>1122</v>
      </c>
      <c r="J24" s="41">
        <f>SUM(J7:J22)</f>
        <v>131240</v>
      </c>
    </row>
    <row r="25" spans="1:10" x14ac:dyDescent="0.25">
      <c r="A25" s="18" t="s">
        <v>17</v>
      </c>
      <c r="B25" s="5">
        <v>2063</v>
      </c>
      <c r="C25" s="6">
        <v>1590</v>
      </c>
      <c r="D25" s="6">
        <v>366</v>
      </c>
      <c r="E25" s="6">
        <v>174</v>
      </c>
      <c r="F25" s="6">
        <v>1911</v>
      </c>
      <c r="G25" s="25">
        <v>948</v>
      </c>
      <c r="H25" s="32">
        <v>7052</v>
      </c>
      <c r="I25" s="5">
        <v>71</v>
      </c>
      <c r="J25" s="23">
        <v>7123</v>
      </c>
    </row>
    <row r="26" spans="1:10" x14ac:dyDescent="0.25">
      <c r="A26" s="18" t="s">
        <v>18</v>
      </c>
      <c r="B26" s="4">
        <v>7343</v>
      </c>
      <c r="C26" s="2">
        <v>5532</v>
      </c>
      <c r="D26" s="2">
        <v>909</v>
      </c>
      <c r="E26" s="2">
        <v>525</v>
      </c>
      <c r="F26" s="2">
        <v>4440</v>
      </c>
      <c r="G26" s="26">
        <v>2911</v>
      </c>
      <c r="H26" s="32">
        <v>21660</v>
      </c>
      <c r="I26" s="4">
        <v>125</v>
      </c>
      <c r="J26" s="23">
        <v>21785</v>
      </c>
    </row>
    <row r="27" spans="1:10" x14ac:dyDescent="0.25">
      <c r="A27" s="18" t="s">
        <v>19</v>
      </c>
      <c r="B27" s="4">
        <v>20900</v>
      </c>
      <c r="C27" s="2">
        <v>15202</v>
      </c>
      <c r="D27" s="2">
        <v>3653</v>
      </c>
      <c r="E27" s="2">
        <v>1052</v>
      </c>
      <c r="F27" s="2">
        <v>14859</v>
      </c>
      <c r="G27" s="26">
        <v>8316</v>
      </c>
      <c r="H27" s="32">
        <v>63982</v>
      </c>
      <c r="I27" s="4">
        <v>680</v>
      </c>
      <c r="J27" s="23">
        <v>64662</v>
      </c>
    </row>
    <row r="28" spans="1:10" x14ac:dyDescent="0.25">
      <c r="A28" s="18" t="s">
        <v>20</v>
      </c>
      <c r="B28" s="4">
        <v>39192</v>
      </c>
      <c r="C28" s="2">
        <v>19761</v>
      </c>
      <c r="D28" s="2">
        <v>10356</v>
      </c>
      <c r="E28" s="2">
        <v>2087</v>
      </c>
      <c r="F28" s="2">
        <v>18544</v>
      </c>
      <c r="G28" s="26">
        <v>12104</v>
      </c>
      <c r="H28" s="32">
        <v>102044</v>
      </c>
      <c r="I28" s="4">
        <v>1455</v>
      </c>
      <c r="J28" s="23">
        <v>103499</v>
      </c>
    </row>
    <row r="29" spans="1:10" x14ac:dyDescent="0.25">
      <c r="A29" s="18" t="s">
        <v>21</v>
      </c>
      <c r="B29" s="4">
        <v>63558</v>
      </c>
      <c r="C29" s="2">
        <v>33471</v>
      </c>
      <c r="D29" s="2">
        <v>13682</v>
      </c>
      <c r="E29" s="2">
        <v>4498</v>
      </c>
      <c r="F29" s="2">
        <v>19553</v>
      </c>
      <c r="G29" s="26">
        <v>11496</v>
      </c>
      <c r="H29" s="32">
        <v>146258</v>
      </c>
      <c r="I29" s="4">
        <v>1690</v>
      </c>
      <c r="J29" s="23">
        <v>147948</v>
      </c>
    </row>
    <row r="30" spans="1:10" x14ac:dyDescent="0.25">
      <c r="A30" s="18" t="s">
        <v>22</v>
      </c>
      <c r="B30" s="4">
        <v>96681</v>
      </c>
      <c r="C30" s="2">
        <v>54741</v>
      </c>
      <c r="D30" s="2">
        <v>7801</v>
      </c>
      <c r="E30" s="2">
        <v>6457</v>
      </c>
      <c r="F30" s="2">
        <v>15886</v>
      </c>
      <c r="G30" s="26">
        <v>13969</v>
      </c>
      <c r="H30" s="32">
        <v>195535</v>
      </c>
      <c r="I30" s="4">
        <v>1428</v>
      </c>
      <c r="J30" s="23">
        <v>196963</v>
      </c>
    </row>
    <row r="31" spans="1:10" x14ac:dyDescent="0.25">
      <c r="A31" s="18" t="s">
        <v>23</v>
      </c>
      <c r="B31" s="4">
        <v>38669</v>
      </c>
      <c r="C31" s="2">
        <v>17406</v>
      </c>
      <c r="D31" s="2">
        <v>4356</v>
      </c>
      <c r="E31" s="2">
        <v>14193</v>
      </c>
      <c r="F31" s="2">
        <v>12854</v>
      </c>
      <c r="G31" s="26">
        <v>3361</v>
      </c>
      <c r="H31" s="32">
        <v>90839</v>
      </c>
      <c r="I31" s="4">
        <v>89</v>
      </c>
      <c r="J31" s="23">
        <v>90928</v>
      </c>
    </row>
    <row r="32" spans="1:10" x14ac:dyDescent="0.25">
      <c r="A32" s="18" t="s">
        <v>24</v>
      </c>
      <c r="B32" s="4">
        <v>19524</v>
      </c>
      <c r="C32" s="2">
        <v>7145</v>
      </c>
      <c r="D32" s="2">
        <v>1305</v>
      </c>
      <c r="E32" s="2">
        <v>3581</v>
      </c>
      <c r="F32" s="2">
        <v>400</v>
      </c>
      <c r="G32" s="26">
        <v>744</v>
      </c>
      <c r="H32" s="32">
        <v>32699</v>
      </c>
      <c r="I32" s="4">
        <v>12</v>
      </c>
      <c r="J32" s="23">
        <v>32711</v>
      </c>
    </row>
    <row r="33" spans="1:10" x14ac:dyDescent="0.25">
      <c r="A33" s="18" t="s">
        <v>25</v>
      </c>
      <c r="B33" s="2">
        <v>13414</v>
      </c>
      <c r="C33" s="2">
        <v>7204</v>
      </c>
      <c r="D33" s="2">
        <v>955</v>
      </c>
      <c r="E33" s="2">
        <v>1287</v>
      </c>
      <c r="F33" s="2">
        <v>879</v>
      </c>
      <c r="G33" s="26">
        <v>904</v>
      </c>
      <c r="H33" s="32">
        <v>24643</v>
      </c>
      <c r="I33" s="4">
        <v>0</v>
      </c>
      <c r="J33" s="23">
        <v>24643</v>
      </c>
    </row>
    <row r="34" spans="1:10" x14ac:dyDescent="0.25">
      <c r="A34" s="18" t="s">
        <v>42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64">
        <v>0</v>
      </c>
      <c r="H34" s="63">
        <v>1</v>
      </c>
      <c r="I34" s="4">
        <v>0</v>
      </c>
      <c r="J34" s="23">
        <v>1</v>
      </c>
    </row>
    <row r="35" spans="1:10" ht="15.75" thickBot="1" x14ac:dyDescent="0.3">
      <c r="A35" s="18"/>
      <c r="B35" s="9"/>
      <c r="C35" s="9"/>
      <c r="D35" s="9"/>
      <c r="E35" s="9"/>
      <c r="F35" s="9"/>
      <c r="G35" s="62"/>
      <c r="H35" s="61"/>
      <c r="I35" s="9"/>
      <c r="J35" s="60"/>
    </row>
    <row r="36" spans="1:10" ht="15.75" thickBot="1" x14ac:dyDescent="0.3">
      <c r="A36" s="22" t="s">
        <v>26</v>
      </c>
      <c r="B36" s="34">
        <f>SUM(B25:B34)</f>
        <v>301344</v>
      </c>
      <c r="C36" s="34">
        <f>SUM(C25:C34)</f>
        <v>162052</v>
      </c>
      <c r="D36" s="34">
        <f>SUM(D25:D34)</f>
        <v>43383</v>
      </c>
      <c r="E36" s="34">
        <f>SUM(E25:E34)</f>
        <v>33854</v>
      </c>
      <c r="F36" s="34">
        <f>SUM(F25:F34)</f>
        <v>89327</v>
      </c>
      <c r="G36" s="35">
        <f>SUM(G25:G34)</f>
        <v>54753</v>
      </c>
      <c r="H36" s="30">
        <f>SUM(H25:H34)</f>
        <v>684713</v>
      </c>
      <c r="I36" s="34">
        <f>SUM(I25:I34)</f>
        <v>5550</v>
      </c>
      <c r="J36" s="41">
        <f>SUM(J25:J34)</f>
        <v>690263</v>
      </c>
    </row>
    <row r="37" spans="1:10" ht="16.5" thickTop="1" thickBot="1" x14ac:dyDescent="0.3">
      <c r="A37" s="11" t="s">
        <v>27</v>
      </c>
      <c r="B37" s="37">
        <f>SUM(B24,B36)</f>
        <v>346478</v>
      </c>
      <c r="C37" s="37">
        <f>SUM(C24,C36)</f>
        <v>199312</v>
      </c>
      <c r="D37" s="37">
        <f>SUM(D24,D36)</f>
        <v>57738</v>
      </c>
      <c r="E37" s="37">
        <f>SUM(E24,E36)</f>
        <v>38188</v>
      </c>
      <c r="F37" s="37">
        <f>SUM(F24,F36)</f>
        <v>104484</v>
      </c>
      <c r="G37" s="38">
        <f>SUM(G24,G36)</f>
        <v>68631</v>
      </c>
      <c r="H37" s="40">
        <f>SUM(H24,H36)</f>
        <v>814831</v>
      </c>
      <c r="I37" s="37">
        <f>SUM(I24,I36)</f>
        <v>6672</v>
      </c>
      <c r="J37" s="39">
        <f>SUM(J24,J36)</f>
        <v>821503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44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1</v>
      </c>
      <c r="D8" s="57">
        <v>0</v>
      </c>
      <c r="E8" s="57">
        <v>1</v>
      </c>
      <c r="F8" s="57">
        <v>4</v>
      </c>
      <c r="G8" s="57">
        <v>0</v>
      </c>
      <c r="H8" s="32">
        <v>8</v>
      </c>
      <c r="I8" s="4">
        <v>0</v>
      </c>
      <c r="J8" s="19">
        <v>8</v>
      </c>
    </row>
    <row r="9" spans="1:10" x14ac:dyDescent="0.25">
      <c r="A9" s="18" t="s">
        <v>3</v>
      </c>
      <c r="B9" s="57">
        <v>67</v>
      </c>
      <c r="C9" s="57">
        <v>33</v>
      </c>
      <c r="D9" s="57">
        <v>17</v>
      </c>
      <c r="E9" s="57">
        <v>4</v>
      </c>
      <c r="F9" s="57">
        <v>41</v>
      </c>
      <c r="G9" s="57">
        <v>27</v>
      </c>
      <c r="H9" s="32">
        <v>189</v>
      </c>
      <c r="I9" s="4">
        <v>1</v>
      </c>
      <c r="J9" s="19">
        <v>190</v>
      </c>
    </row>
    <row r="10" spans="1:10" x14ac:dyDescent="0.25">
      <c r="A10" s="18" t="s">
        <v>4</v>
      </c>
      <c r="B10" s="57">
        <v>166</v>
      </c>
      <c r="C10" s="57">
        <v>75</v>
      </c>
      <c r="D10" s="57">
        <v>25</v>
      </c>
      <c r="E10" s="57">
        <v>8</v>
      </c>
      <c r="F10" s="57">
        <v>135</v>
      </c>
      <c r="G10" s="57">
        <v>58</v>
      </c>
      <c r="H10" s="32">
        <v>467</v>
      </c>
      <c r="I10" s="4">
        <v>0</v>
      </c>
      <c r="J10" s="19">
        <v>467</v>
      </c>
    </row>
    <row r="11" spans="1:10" x14ac:dyDescent="0.25">
      <c r="A11" s="18" t="s">
        <v>5</v>
      </c>
      <c r="B11" s="58">
        <v>1416</v>
      </c>
      <c r="C11" s="58">
        <v>1778</v>
      </c>
      <c r="D11" s="58">
        <v>1267</v>
      </c>
      <c r="E11" s="57">
        <v>291</v>
      </c>
      <c r="F11" s="58">
        <v>955</v>
      </c>
      <c r="G11" s="58">
        <v>1069</v>
      </c>
      <c r="H11" s="32">
        <v>6776</v>
      </c>
      <c r="I11" s="4">
        <v>31</v>
      </c>
      <c r="J11" s="19">
        <v>6807</v>
      </c>
    </row>
    <row r="12" spans="1:10" x14ac:dyDescent="0.25">
      <c r="A12" s="18" t="s">
        <v>6</v>
      </c>
      <c r="B12" s="58">
        <v>3533</v>
      </c>
      <c r="C12" s="58">
        <v>5145</v>
      </c>
      <c r="D12" s="58">
        <v>3178</v>
      </c>
      <c r="E12" s="57">
        <v>765</v>
      </c>
      <c r="F12" s="58">
        <v>3952</v>
      </c>
      <c r="G12" s="58">
        <v>3765</v>
      </c>
      <c r="H12" s="32">
        <v>20338</v>
      </c>
      <c r="I12" s="4">
        <v>138</v>
      </c>
      <c r="J12" s="19">
        <v>20476</v>
      </c>
    </row>
    <row r="13" spans="1:10" x14ac:dyDescent="0.25">
      <c r="A13" s="18" t="s">
        <v>7</v>
      </c>
      <c r="B13" s="58">
        <v>6491</v>
      </c>
      <c r="C13" s="58">
        <v>7175</v>
      </c>
      <c r="D13" s="58">
        <v>4724</v>
      </c>
      <c r="E13" s="58">
        <v>1206</v>
      </c>
      <c r="F13" s="58">
        <v>4378</v>
      </c>
      <c r="G13" s="58">
        <v>5202</v>
      </c>
      <c r="H13" s="32">
        <v>29176</v>
      </c>
      <c r="I13" s="4">
        <v>308</v>
      </c>
      <c r="J13" s="19">
        <v>29484</v>
      </c>
    </row>
    <row r="14" spans="1:10" x14ac:dyDescent="0.25">
      <c r="A14" s="18" t="s">
        <v>8</v>
      </c>
      <c r="B14" s="58">
        <v>10524</v>
      </c>
      <c r="C14" s="58">
        <v>10835</v>
      </c>
      <c r="D14" s="58">
        <v>3925</v>
      </c>
      <c r="E14" s="58">
        <v>1280</v>
      </c>
      <c r="F14" s="58">
        <v>3471</v>
      </c>
      <c r="G14" s="58">
        <v>2812</v>
      </c>
      <c r="H14" s="32">
        <v>32847</v>
      </c>
      <c r="I14" s="4">
        <v>397</v>
      </c>
      <c r="J14" s="19">
        <v>33244</v>
      </c>
    </row>
    <row r="15" spans="1:10" x14ac:dyDescent="0.25">
      <c r="A15" s="18" t="s">
        <v>9</v>
      </c>
      <c r="B15" s="58">
        <v>9390</v>
      </c>
      <c r="C15" s="58">
        <v>6190</v>
      </c>
      <c r="D15" s="57">
        <v>676</v>
      </c>
      <c r="E15" s="57">
        <v>249</v>
      </c>
      <c r="F15" s="58">
        <v>1241</v>
      </c>
      <c r="G15" s="57">
        <v>596</v>
      </c>
      <c r="H15" s="32">
        <v>18342</v>
      </c>
      <c r="I15" s="4">
        <v>60</v>
      </c>
      <c r="J15" s="19">
        <v>18402</v>
      </c>
    </row>
    <row r="16" spans="1:10" x14ac:dyDescent="0.25">
      <c r="A16" s="18" t="s">
        <v>10</v>
      </c>
      <c r="B16" s="58">
        <v>5124</v>
      </c>
      <c r="C16" s="58">
        <v>2651</v>
      </c>
      <c r="D16" s="57">
        <v>418</v>
      </c>
      <c r="E16" s="57">
        <v>301</v>
      </c>
      <c r="F16" s="58">
        <v>1018</v>
      </c>
      <c r="G16" s="57">
        <v>312</v>
      </c>
      <c r="H16" s="32">
        <v>9824</v>
      </c>
      <c r="I16" s="4">
        <v>61</v>
      </c>
      <c r="J16" s="19">
        <v>9885</v>
      </c>
    </row>
    <row r="17" spans="1:10" x14ac:dyDescent="0.25">
      <c r="A17" s="18" t="s">
        <v>11</v>
      </c>
      <c r="B17" s="57">
        <v>394</v>
      </c>
      <c r="C17" s="57">
        <v>108</v>
      </c>
      <c r="D17" s="57">
        <v>2</v>
      </c>
      <c r="E17" s="57">
        <v>14</v>
      </c>
      <c r="F17" s="57">
        <v>0</v>
      </c>
      <c r="G17" s="57">
        <v>0</v>
      </c>
      <c r="H17" s="32">
        <v>518</v>
      </c>
      <c r="I17" s="4">
        <v>0</v>
      </c>
      <c r="J17" s="19">
        <v>518</v>
      </c>
    </row>
    <row r="18" spans="1:10" x14ac:dyDescent="0.25">
      <c r="A18" s="18" t="s">
        <v>12</v>
      </c>
      <c r="B18" s="58">
        <v>1398</v>
      </c>
      <c r="C18" s="57">
        <v>514</v>
      </c>
      <c r="D18" s="57">
        <v>14</v>
      </c>
      <c r="E18" s="57">
        <v>36</v>
      </c>
      <c r="F18" s="57">
        <v>0</v>
      </c>
      <c r="G18" s="57">
        <v>0</v>
      </c>
      <c r="H18" s="32">
        <v>1962</v>
      </c>
      <c r="I18" s="4">
        <v>20</v>
      </c>
      <c r="J18" s="19">
        <v>1982</v>
      </c>
    </row>
    <row r="19" spans="1:10" x14ac:dyDescent="0.25">
      <c r="A19" s="18" t="s">
        <v>13</v>
      </c>
      <c r="B19" s="58">
        <v>2102</v>
      </c>
      <c r="C19" s="57">
        <v>984</v>
      </c>
      <c r="D19" s="57">
        <v>37</v>
      </c>
      <c r="E19" s="57">
        <v>64</v>
      </c>
      <c r="F19" s="57">
        <v>0</v>
      </c>
      <c r="G19" s="57">
        <v>0</v>
      </c>
      <c r="H19" s="32">
        <v>3187</v>
      </c>
      <c r="I19" s="4">
        <v>60</v>
      </c>
      <c r="J19" s="19">
        <v>3247</v>
      </c>
    </row>
    <row r="20" spans="1:10" x14ac:dyDescent="0.25">
      <c r="A20" s="18" t="s">
        <v>14</v>
      </c>
      <c r="B20" s="58">
        <v>3503</v>
      </c>
      <c r="C20" s="58">
        <v>1372</v>
      </c>
      <c r="D20" s="57">
        <v>31</v>
      </c>
      <c r="E20" s="57">
        <v>92</v>
      </c>
      <c r="F20" s="57">
        <v>0</v>
      </c>
      <c r="G20" s="57">
        <v>0</v>
      </c>
      <c r="H20" s="32">
        <v>4998</v>
      </c>
      <c r="I20" s="4">
        <v>51</v>
      </c>
      <c r="J20" s="19">
        <v>5049</v>
      </c>
    </row>
    <row r="21" spans="1:10" x14ac:dyDescent="0.25">
      <c r="A21" s="18" t="s">
        <v>15</v>
      </c>
      <c r="B21" s="58">
        <v>1176</v>
      </c>
      <c r="C21" s="57">
        <v>415</v>
      </c>
      <c r="D21" s="57">
        <v>0</v>
      </c>
      <c r="E21" s="57">
        <v>32</v>
      </c>
      <c r="F21" s="57">
        <v>0</v>
      </c>
      <c r="G21" s="57">
        <v>0</v>
      </c>
      <c r="H21" s="32">
        <v>1623</v>
      </c>
      <c r="I21" s="4">
        <v>0</v>
      </c>
      <c r="J21" s="19">
        <v>1623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24.95" customHeight="1" thickBot="1" x14ac:dyDescent="0.3">
      <c r="A24" s="22" t="s">
        <v>16</v>
      </c>
      <c r="B24" s="34">
        <f>SUM(B7:B22)</f>
        <v>45288</v>
      </c>
      <c r="C24" s="34">
        <f t="shared" ref="C24:J24" si="0">SUM(C7:C22)</f>
        <v>37276</v>
      </c>
      <c r="D24" s="34">
        <f t="shared" si="0"/>
        <v>14314</v>
      </c>
      <c r="E24" s="34">
        <f t="shared" si="0"/>
        <v>4343</v>
      </c>
      <c r="F24" s="34">
        <f t="shared" si="0"/>
        <v>15195</v>
      </c>
      <c r="G24" s="35">
        <f t="shared" si="0"/>
        <v>13841</v>
      </c>
      <c r="H24" s="30">
        <f t="shared" si="0"/>
        <v>130257</v>
      </c>
      <c r="I24" s="34">
        <f t="shared" si="0"/>
        <v>1127</v>
      </c>
      <c r="J24" s="36">
        <f t="shared" si="0"/>
        <v>131384</v>
      </c>
    </row>
    <row r="25" spans="1:10" x14ac:dyDescent="0.25">
      <c r="A25" s="18" t="s">
        <v>17</v>
      </c>
      <c r="B25" s="5">
        <v>2060</v>
      </c>
      <c r="C25" s="6">
        <v>1587</v>
      </c>
      <c r="D25" s="6">
        <v>360</v>
      </c>
      <c r="E25" s="6">
        <v>171</v>
      </c>
      <c r="F25" s="6">
        <v>1916</v>
      </c>
      <c r="G25" s="25">
        <v>958</v>
      </c>
      <c r="H25" s="32">
        <v>7052</v>
      </c>
      <c r="I25" s="5">
        <v>70</v>
      </c>
      <c r="J25" s="23">
        <v>7122</v>
      </c>
    </row>
    <row r="26" spans="1:10" x14ac:dyDescent="0.25">
      <c r="A26" s="18" t="s">
        <v>18</v>
      </c>
      <c r="B26" s="4">
        <v>7337</v>
      </c>
      <c r="C26" s="2">
        <v>5466</v>
      </c>
      <c r="D26" s="2">
        <v>901</v>
      </c>
      <c r="E26" s="2">
        <v>522</v>
      </c>
      <c r="F26" s="2">
        <v>4433</v>
      </c>
      <c r="G26" s="26">
        <v>2908</v>
      </c>
      <c r="H26" s="32">
        <v>21567</v>
      </c>
      <c r="I26" s="4">
        <v>122</v>
      </c>
      <c r="J26" s="23">
        <v>21689</v>
      </c>
    </row>
    <row r="27" spans="1:10" x14ac:dyDescent="0.25">
      <c r="A27" s="18" t="s">
        <v>19</v>
      </c>
      <c r="B27" s="4">
        <v>20719</v>
      </c>
      <c r="C27" s="2">
        <v>15205</v>
      </c>
      <c r="D27" s="2">
        <v>3637</v>
      </c>
      <c r="E27" s="2">
        <v>1056</v>
      </c>
      <c r="F27" s="2">
        <v>14953</v>
      </c>
      <c r="G27" s="26">
        <v>8325</v>
      </c>
      <c r="H27" s="32">
        <v>63895</v>
      </c>
      <c r="I27" s="4">
        <v>681</v>
      </c>
      <c r="J27" s="23">
        <v>64576</v>
      </c>
    </row>
    <row r="28" spans="1:10" x14ac:dyDescent="0.25">
      <c r="A28" s="18" t="s">
        <v>20</v>
      </c>
      <c r="B28" s="4">
        <v>39196</v>
      </c>
      <c r="C28" s="2">
        <v>19749</v>
      </c>
      <c r="D28" s="2">
        <v>10366</v>
      </c>
      <c r="E28" s="2">
        <v>2101</v>
      </c>
      <c r="F28" s="2">
        <v>18519</v>
      </c>
      <c r="G28" s="26">
        <v>12167</v>
      </c>
      <c r="H28" s="32">
        <v>102098</v>
      </c>
      <c r="I28" s="4">
        <v>1450</v>
      </c>
      <c r="J28" s="23">
        <v>103548</v>
      </c>
    </row>
    <row r="29" spans="1:10" x14ac:dyDescent="0.25">
      <c r="A29" s="18" t="s">
        <v>21</v>
      </c>
      <c r="B29" s="4">
        <v>63279</v>
      </c>
      <c r="C29" s="2">
        <v>33110</v>
      </c>
      <c r="D29" s="2">
        <v>13696</v>
      </c>
      <c r="E29" s="2">
        <v>4778</v>
      </c>
      <c r="F29" s="2">
        <v>19700</v>
      </c>
      <c r="G29" s="26">
        <v>11690</v>
      </c>
      <c r="H29" s="32">
        <v>146253</v>
      </c>
      <c r="I29" s="4">
        <v>1697</v>
      </c>
      <c r="J29" s="23">
        <v>147950</v>
      </c>
    </row>
    <row r="30" spans="1:10" x14ac:dyDescent="0.25">
      <c r="A30" s="18" t="s">
        <v>22</v>
      </c>
      <c r="B30" s="4">
        <v>97211</v>
      </c>
      <c r="C30" s="2">
        <v>54871</v>
      </c>
      <c r="D30" s="2">
        <v>7909</v>
      </c>
      <c r="E30" s="2">
        <v>6686</v>
      </c>
      <c r="F30" s="2">
        <v>15981</v>
      </c>
      <c r="G30" s="26">
        <v>13923</v>
      </c>
      <c r="H30" s="32">
        <v>196581</v>
      </c>
      <c r="I30" s="4">
        <v>1388</v>
      </c>
      <c r="J30" s="23">
        <v>197969</v>
      </c>
    </row>
    <row r="31" spans="1:10" x14ac:dyDescent="0.25">
      <c r="A31" s="18" t="s">
        <v>23</v>
      </c>
      <c r="B31" s="4">
        <v>38170</v>
      </c>
      <c r="C31" s="2">
        <v>17504</v>
      </c>
      <c r="D31" s="2">
        <v>4345</v>
      </c>
      <c r="E31" s="2">
        <v>13760</v>
      </c>
      <c r="F31" s="2">
        <v>12977</v>
      </c>
      <c r="G31" s="26">
        <v>3388</v>
      </c>
      <c r="H31" s="32">
        <v>90144</v>
      </c>
      <c r="I31" s="4">
        <v>85</v>
      </c>
      <c r="J31" s="23">
        <v>90229</v>
      </c>
    </row>
    <row r="32" spans="1:10" x14ac:dyDescent="0.25">
      <c r="A32" s="18" t="s">
        <v>24</v>
      </c>
      <c r="B32" s="4">
        <v>19331</v>
      </c>
      <c r="C32" s="2">
        <v>6973</v>
      </c>
      <c r="D32" s="2">
        <v>1306</v>
      </c>
      <c r="E32" s="2">
        <v>3647</v>
      </c>
      <c r="F32" s="2">
        <v>409</v>
      </c>
      <c r="G32" s="26">
        <v>725</v>
      </c>
      <c r="H32" s="32">
        <v>32391</v>
      </c>
      <c r="I32" s="4">
        <v>1</v>
      </c>
      <c r="J32" s="23">
        <v>32392</v>
      </c>
    </row>
    <row r="33" spans="1:10" x14ac:dyDescent="0.25">
      <c r="A33" s="18" t="s">
        <v>25</v>
      </c>
      <c r="B33" s="2">
        <v>13088</v>
      </c>
      <c r="C33" s="2">
        <v>7230</v>
      </c>
      <c r="D33" s="2">
        <v>1001</v>
      </c>
      <c r="E33" s="2">
        <v>1586</v>
      </c>
      <c r="F33" s="2">
        <v>795</v>
      </c>
      <c r="G33" s="26">
        <v>959</v>
      </c>
      <c r="H33" s="32">
        <v>24659</v>
      </c>
      <c r="I33" s="4">
        <v>0</v>
      </c>
      <c r="J33" s="23">
        <v>24659</v>
      </c>
    </row>
    <row r="34" spans="1:10" x14ac:dyDescent="0.25">
      <c r="A34" s="18" t="s">
        <v>42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300391</v>
      </c>
      <c r="C36" s="34">
        <f t="shared" ref="C36:J36" si="1">SUM(C25:C34)</f>
        <v>161695</v>
      </c>
      <c r="D36" s="34">
        <f t="shared" si="1"/>
        <v>43521</v>
      </c>
      <c r="E36" s="34">
        <f t="shared" si="1"/>
        <v>34307</v>
      </c>
      <c r="F36" s="34">
        <f t="shared" si="1"/>
        <v>89683</v>
      </c>
      <c r="G36" s="35">
        <f t="shared" si="1"/>
        <v>55043</v>
      </c>
      <c r="H36" s="30">
        <f t="shared" si="1"/>
        <v>684640</v>
      </c>
      <c r="I36" s="34">
        <f t="shared" si="1"/>
        <v>5494</v>
      </c>
      <c r="J36" s="36">
        <f t="shared" si="1"/>
        <v>690134</v>
      </c>
    </row>
    <row r="37" spans="1:10" ht="16.5" thickTop="1" thickBot="1" x14ac:dyDescent="0.3">
      <c r="A37" s="11" t="s">
        <v>27</v>
      </c>
      <c r="B37" s="37">
        <f t="shared" ref="B37:J37" si="2">SUM(B24,B36)</f>
        <v>345679</v>
      </c>
      <c r="C37" s="37">
        <f t="shared" si="2"/>
        <v>198971</v>
      </c>
      <c r="D37" s="37">
        <f t="shared" si="2"/>
        <v>57835</v>
      </c>
      <c r="E37" s="37">
        <f t="shared" si="2"/>
        <v>38650</v>
      </c>
      <c r="F37" s="37">
        <f t="shared" si="2"/>
        <v>104878</v>
      </c>
      <c r="G37" s="38">
        <f t="shared" si="2"/>
        <v>68884</v>
      </c>
      <c r="H37" s="40">
        <f t="shared" si="2"/>
        <v>814897</v>
      </c>
      <c r="I37" s="37">
        <f t="shared" si="2"/>
        <v>6621</v>
      </c>
      <c r="J37" s="59">
        <f t="shared" si="2"/>
        <v>821518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43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1</v>
      </c>
      <c r="C7" s="57">
        <v>0</v>
      </c>
      <c r="D7" s="57">
        <v>0</v>
      </c>
      <c r="E7" s="57">
        <v>0</v>
      </c>
      <c r="F7" s="57">
        <v>1</v>
      </c>
      <c r="G7" s="57">
        <v>0</v>
      </c>
      <c r="H7" s="32">
        <v>2</v>
      </c>
      <c r="I7" s="5">
        <v>0</v>
      </c>
      <c r="J7" s="19">
        <v>2</v>
      </c>
    </row>
    <row r="8" spans="1:10" x14ac:dyDescent="0.25">
      <c r="A8" s="18" t="s">
        <v>2</v>
      </c>
      <c r="B8" s="57">
        <v>2</v>
      </c>
      <c r="C8" s="57">
        <v>1</v>
      </c>
      <c r="D8" s="57">
        <v>0</v>
      </c>
      <c r="E8" s="57">
        <v>1</v>
      </c>
      <c r="F8" s="57">
        <v>2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66</v>
      </c>
      <c r="C9" s="57">
        <v>31</v>
      </c>
      <c r="D9" s="57">
        <v>17</v>
      </c>
      <c r="E9" s="57">
        <v>4</v>
      </c>
      <c r="F9" s="57">
        <v>40</v>
      </c>
      <c r="G9" s="57">
        <v>25</v>
      </c>
      <c r="H9" s="32">
        <v>183</v>
      </c>
      <c r="I9" s="4">
        <v>1</v>
      </c>
      <c r="J9" s="19">
        <v>184</v>
      </c>
    </row>
    <row r="10" spans="1:10" x14ac:dyDescent="0.25">
      <c r="A10" s="18" t="s">
        <v>4</v>
      </c>
      <c r="B10" s="57">
        <v>162</v>
      </c>
      <c r="C10" s="57">
        <v>80</v>
      </c>
      <c r="D10" s="57">
        <v>25</v>
      </c>
      <c r="E10" s="57">
        <v>8</v>
      </c>
      <c r="F10" s="57">
        <v>134</v>
      </c>
      <c r="G10" s="57">
        <v>58</v>
      </c>
      <c r="H10" s="32">
        <v>467</v>
      </c>
      <c r="I10" s="4">
        <v>0</v>
      </c>
      <c r="J10" s="19">
        <v>467</v>
      </c>
    </row>
    <row r="11" spans="1:10" x14ac:dyDescent="0.25">
      <c r="A11" s="18" t="s">
        <v>5</v>
      </c>
      <c r="B11" s="58">
        <v>1407</v>
      </c>
      <c r="C11" s="58">
        <v>1760</v>
      </c>
      <c r="D11" s="58">
        <v>1258</v>
      </c>
      <c r="E11" s="57">
        <v>289</v>
      </c>
      <c r="F11" s="58">
        <v>950</v>
      </c>
      <c r="G11" s="58">
        <v>1063</v>
      </c>
      <c r="H11" s="32">
        <v>6727</v>
      </c>
      <c r="I11" s="4">
        <v>30</v>
      </c>
      <c r="J11" s="19">
        <v>6757</v>
      </c>
    </row>
    <row r="12" spans="1:10" x14ac:dyDescent="0.25">
      <c r="A12" s="18" t="s">
        <v>6</v>
      </c>
      <c r="B12" s="58">
        <v>3536</v>
      </c>
      <c r="C12" s="58">
        <v>5151</v>
      </c>
      <c r="D12" s="58">
        <v>3198</v>
      </c>
      <c r="E12" s="57">
        <v>762</v>
      </c>
      <c r="F12" s="58">
        <v>3979</v>
      </c>
      <c r="G12" s="58">
        <v>3754</v>
      </c>
      <c r="H12" s="32">
        <v>20380</v>
      </c>
      <c r="I12" s="4">
        <v>138</v>
      </c>
      <c r="J12" s="19">
        <v>20518</v>
      </c>
    </row>
    <row r="13" spans="1:10" x14ac:dyDescent="0.25">
      <c r="A13" s="18" t="s">
        <v>7</v>
      </c>
      <c r="B13" s="58">
        <v>6499</v>
      </c>
      <c r="C13" s="58">
        <v>7236</v>
      </c>
      <c r="D13" s="58">
        <v>4717</v>
      </c>
      <c r="E13" s="58">
        <v>1209</v>
      </c>
      <c r="F13" s="58">
        <v>4374</v>
      </c>
      <c r="G13" s="58">
        <v>5293</v>
      </c>
      <c r="H13" s="32">
        <v>29328</v>
      </c>
      <c r="I13" s="4">
        <v>327</v>
      </c>
      <c r="J13" s="19">
        <v>29655</v>
      </c>
    </row>
    <row r="14" spans="1:10" x14ac:dyDescent="0.25">
      <c r="A14" s="18" t="s">
        <v>8</v>
      </c>
      <c r="B14" s="58">
        <v>10370</v>
      </c>
      <c r="C14" s="58">
        <v>10763</v>
      </c>
      <c r="D14" s="58">
        <v>3915</v>
      </c>
      <c r="E14" s="58">
        <v>1291</v>
      </c>
      <c r="F14" s="58">
        <v>3460</v>
      </c>
      <c r="G14" s="58">
        <v>2843</v>
      </c>
      <c r="H14" s="32">
        <v>32642</v>
      </c>
      <c r="I14" s="4">
        <v>376</v>
      </c>
      <c r="J14" s="19">
        <v>33018</v>
      </c>
    </row>
    <row r="15" spans="1:10" x14ac:dyDescent="0.25">
      <c r="A15" s="18" t="s">
        <v>9</v>
      </c>
      <c r="B15" s="58">
        <v>9551</v>
      </c>
      <c r="C15" s="58">
        <v>6260</v>
      </c>
      <c r="D15" s="57">
        <v>688</v>
      </c>
      <c r="E15" s="57">
        <v>280</v>
      </c>
      <c r="F15" s="58">
        <v>1227</v>
      </c>
      <c r="G15" s="57">
        <v>586</v>
      </c>
      <c r="H15" s="32">
        <v>18592</v>
      </c>
      <c r="I15" s="4">
        <v>59</v>
      </c>
      <c r="J15" s="19">
        <v>18651</v>
      </c>
    </row>
    <row r="16" spans="1:10" x14ac:dyDescent="0.25">
      <c r="A16" s="18" t="s">
        <v>10</v>
      </c>
      <c r="B16" s="58">
        <v>5152</v>
      </c>
      <c r="C16" s="58">
        <v>2638</v>
      </c>
      <c r="D16" s="57">
        <v>415</v>
      </c>
      <c r="E16" s="57">
        <v>273</v>
      </c>
      <c r="F16" s="58">
        <v>1034</v>
      </c>
      <c r="G16" s="57">
        <v>315</v>
      </c>
      <c r="H16" s="32">
        <v>9827</v>
      </c>
      <c r="I16" s="4">
        <v>60</v>
      </c>
      <c r="J16" s="19">
        <v>9887</v>
      </c>
    </row>
    <row r="17" spans="1:10" x14ac:dyDescent="0.25">
      <c r="A17" s="18" t="s">
        <v>11</v>
      </c>
      <c r="B17" s="57">
        <v>396</v>
      </c>
      <c r="C17" s="57">
        <v>107</v>
      </c>
      <c r="D17" s="57">
        <v>2</v>
      </c>
      <c r="E17" s="57">
        <v>15</v>
      </c>
      <c r="F17" s="57">
        <v>0</v>
      </c>
      <c r="G17" s="57">
        <v>0</v>
      </c>
      <c r="H17" s="32">
        <v>520</v>
      </c>
      <c r="I17" s="4">
        <v>0</v>
      </c>
      <c r="J17" s="19">
        <v>520</v>
      </c>
    </row>
    <row r="18" spans="1:10" x14ac:dyDescent="0.25">
      <c r="A18" s="18" t="s">
        <v>12</v>
      </c>
      <c r="B18" s="58">
        <v>1391</v>
      </c>
      <c r="C18" s="57">
        <v>511</v>
      </c>
      <c r="D18" s="57">
        <v>14</v>
      </c>
      <c r="E18" s="57">
        <v>35</v>
      </c>
      <c r="F18" s="57">
        <v>0</v>
      </c>
      <c r="G18" s="57">
        <v>0</v>
      </c>
      <c r="H18" s="32">
        <v>1951</v>
      </c>
      <c r="I18" s="4">
        <v>26</v>
      </c>
      <c r="J18" s="19">
        <v>1977</v>
      </c>
    </row>
    <row r="19" spans="1:10" x14ac:dyDescent="0.25">
      <c r="A19" s="18" t="s">
        <v>13</v>
      </c>
      <c r="B19" s="58">
        <v>2126</v>
      </c>
      <c r="C19" s="57">
        <v>989</v>
      </c>
      <c r="D19" s="57">
        <v>37</v>
      </c>
      <c r="E19" s="57">
        <v>82</v>
      </c>
      <c r="F19" s="57">
        <v>0</v>
      </c>
      <c r="G19" s="57">
        <v>0</v>
      </c>
      <c r="H19" s="32">
        <v>3234</v>
      </c>
      <c r="I19" s="4">
        <v>58</v>
      </c>
      <c r="J19" s="19">
        <v>3292</v>
      </c>
    </row>
    <row r="20" spans="1:10" x14ac:dyDescent="0.25">
      <c r="A20" s="18" t="s">
        <v>14</v>
      </c>
      <c r="B20" s="58">
        <v>3428</v>
      </c>
      <c r="C20" s="58">
        <v>1375</v>
      </c>
      <c r="D20" s="57">
        <v>31</v>
      </c>
      <c r="E20" s="57">
        <v>85</v>
      </c>
      <c r="F20" s="57">
        <v>0</v>
      </c>
      <c r="G20" s="57">
        <v>0</v>
      </c>
      <c r="H20" s="32">
        <v>4919</v>
      </c>
      <c r="I20" s="4">
        <v>45</v>
      </c>
      <c r="J20" s="19">
        <v>4964</v>
      </c>
    </row>
    <row r="21" spans="1:10" x14ac:dyDescent="0.25">
      <c r="A21" s="18" t="s">
        <v>15</v>
      </c>
      <c r="B21" s="58">
        <v>1196</v>
      </c>
      <c r="C21" s="57">
        <v>432</v>
      </c>
      <c r="D21" s="57">
        <v>0</v>
      </c>
      <c r="E21" s="57">
        <v>18</v>
      </c>
      <c r="F21" s="57">
        <v>0</v>
      </c>
      <c r="G21" s="57">
        <v>0</v>
      </c>
      <c r="H21" s="32">
        <v>1646</v>
      </c>
      <c r="I21" s="4">
        <v>0</v>
      </c>
      <c r="J21" s="19">
        <v>1646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32">
        <v>1</v>
      </c>
      <c r="I22" s="4">
        <v>0</v>
      </c>
      <c r="J22" s="19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15.75" thickBot="1" x14ac:dyDescent="0.3">
      <c r="A24" s="22" t="s">
        <v>16</v>
      </c>
      <c r="B24" s="34">
        <f>SUM(B7:B22)</f>
        <v>45284</v>
      </c>
      <c r="C24" s="34">
        <f t="shared" ref="C24:J24" si="0">SUM(C7:C22)</f>
        <v>37334</v>
      </c>
      <c r="D24" s="34">
        <f t="shared" si="0"/>
        <v>14317</v>
      </c>
      <c r="E24" s="34">
        <f t="shared" si="0"/>
        <v>4352</v>
      </c>
      <c r="F24" s="34">
        <f t="shared" si="0"/>
        <v>15201</v>
      </c>
      <c r="G24" s="35">
        <f t="shared" si="0"/>
        <v>13937</v>
      </c>
      <c r="H24" s="30">
        <f t="shared" si="0"/>
        <v>130425</v>
      </c>
      <c r="I24" s="34">
        <f t="shared" si="0"/>
        <v>1120</v>
      </c>
      <c r="J24" s="41">
        <f t="shared" si="0"/>
        <v>131545</v>
      </c>
    </row>
    <row r="25" spans="1:10" x14ac:dyDescent="0.25">
      <c r="A25" s="18" t="s">
        <v>17</v>
      </c>
      <c r="B25" s="5">
        <v>2055</v>
      </c>
      <c r="C25" s="6">
        <v>1585</v>
      </c>
      <c r="D25" s="6">
        <v>363</v>
      </c>
      <c r="E25" s="6">
        <v>173</v>
      </c>
      <c r="F25" s="6">
        <v>1930</v>
      </c>
      <c r="G25" s="25">
        <v>959</v>
      </c>
      <c r="H25" s="32">
        <v>7065</v>
      </c>
      <c r="I25" s="5">
        <v>71</v>
      </c>
      <c r="J25" s="23">
        <v>7136</v>
      </c>
    </row>
    <row r="26" spans="1:10" x14ac:dyDescent="0.25">
      <c r="A26" s="18" t="s">
        <v>18</v>
      </c>
      <c r="B26" s="4">
        <v>7306</v>
      </c>
      <c r="C26" s="2">
        <v>5405</v>
      </c>
      <c r="D26" s="2">
        <v>908</v>
      </c>
      <c r="E26" s="2">
        <v>521</v>
      </c>
      <c r="F26" s="2">
        <v>4444</v>
      </c>
      <c r="G26" s="26">
        <v>2911</v>
      </c>
      <c r="H26" s="32">
        <v>21495</v>
      </c>
      <c r="I26" s="4">
        <v>120</v>
      </c>
      <c r="J26" s="23">
        <v>21615</v>
      </c>
    </row>
    <row r="27" spans="1:10" x14ac:dyDescent="0.25">
      <c r="A27" s="18" t="s">
        <v>19</v>
      </c>
      <c r="B27" s="4">
        <v>20513</v>
      </c>
      <c r="C27" s="2">
        <v>15114</v>
      </c>
      <c r="D27" s="2">
        <v>3687</v>
      </c>
      <c r="E27" s="2">
        <v>1066</v>
      </c>
      <c r="F27" s="2">
        <v>15041</v>
      </c>
      <c r="G27" s="26">
        <v>8326</v>
      </c>
      <c r="H27" s="32">
        <v>63747</v>
      </c>
      <c r="I27" s="4">
        <v>683</v>
      </c>
      <c r="J27" s="23">
        <v>64430</v>
      </c>
    </row>
    <row r="28" spans="1:10" x14ac:dyDescent="0.25">
      <c r="A28" s="18" t="s">
        <v>20</v>
      </c>
      <c r="B28" s="4">
        <v>38793</v>
      </c>
      <c r="C28" s="2">
        <v>19726</v>
      </c>
      <c r="D28" s="2">
        <v>10340</v>
      </c>
      <c r="E28" s="2">
        <v>2090</v>
      </c>
      <c r="F28" s="2">
        <v>18544</v>
      </c>
      <c r="G28" s="26">
        <v>12173</v>
      </c>
      <c r="H28" s="32">
        <v>101666</v>
      </c>
      <c r="I28" s="4">
        <v>1464</v>
      </c>
      <c r="J28" s="23">
        <v>103130</v>
      </c>
    </row>
    <row r="29" spans="1:10" x14ac:dyDescent="0.25">
      <c r="A29" s="18" t="s">
        <v>21</v>
      </c>
      <c r="B29" s="4">
        <v>62881</v>
      </c>
      <c r="C29" s="2">
        <v>33684</v>
      </c>
      <c r="D29" s="2">
        <v>13717</v>
      </c>
      <c r="E29" s="2">
        <v>4675</v>
      </c>
      <c r="F29" s="2">
        <v>19868</v>
      </c>
      <c r="G29" s="26">
        <v>11880</v>
      </c>
      <c r="H29" s="32">
        <v>146705</v>
      </c>
      <c r="I29" s="4">
        <v>1689</v>
      </c>
      <c r="J29" s="23">
        <v>148394</v>
      </c>
    </row>
    <row r="30" spans="1:10" x14ac:dyDescent="0.25">
      <c r="A30" s="18" t="s">
        <v>22</v>
      </c>
      <c r="B30" s="4">
        <v>97884</v>
      </c>
      <c r="C30" s="2">
        <v>54579</v>
      </c>
      <c r="D30" s="2">
        <v>8029</v>
      </c>
      <c r="E30" s="2">
        <v>6651</v>
      </c>
      <c r="F30" s="2">
        <v>16102</v>
      </c>
      <c r="G30" s="26">
        <v>13911</v>
      </c>
      <c r="H30" s="32">
        <v>197156</v>
      </c>
      <c r="I30" s="4">
        <v>1380</v>
      </c>
      <c r="J30" s="23">
        <v>198536</v>
      </c>
    </row>
    <row r="31" spans="1:10" x14ac:dyDescent="0.25">
      <c r="A31" s="18" t="s">
        <v>23</v>
      </c>
      <c r="B31" s="4">
        <v>37758</v>
      </c>
      <c r="C31" s="2">
        <v>17310</v>
      </c>
      <c r="D31" s="2">
        <v>4295</v>
      </c>
      <c r="E31" s="2">
        <v>13994</v>
      </c>
      <c r="F31" s="2">
        <v>13002</v>
      </c>
      <c r="G31" s="26">
        <v>3468</v>
      </c>
      <c r="H31" s="32">
        <v>89827</v>
      </c>
      <c r="I31" s="4">
        <v>102</v>
      </c>
      <c r="J31" s="23">
        <v>89929</v>
      </c>
    </row>
    <row r="32" spans="1:10" x14ac:dyDescent="0.25">
      <c r="A32" s="18" t="s">
        <v>24</v>
      </c>
      <c r="B32" s="4">
        <v>19114</v>
      </c>
      <c r="C32" s="2">
        <v>6904</v>
      </c>
      <c r="D32" s="2">
        <v>1326</v>
      </c>
      <c r="E32" s="2">
        <v>3589</v>
      </c>
      <c r="F32" s="2">
        <v>429</v>
      </c>
      <c r="G32" s="26">
        <v>720</v>
      </c>
      <c r="H32" s="32">
        <v>32082</v>
      </c>
      <c r="I32" s="4">
        <v>1</v>
      </c>
      <c r="J32" s="23">
        <v>32083</v>
      </c>
    </row>
    <row r="33" spans="1:10" x14ac:dyDescent="0.25">
      <c r="A33" s="18" t="s">
        <v>25</v>
      </c>
      <c r="B33" s="2">
        <v>12121</v>
      </c>
      <c r="C33" s="2">
        <v>7230</v>
      </c>
      <c r="D33" s="2">
        <v>1031</v>
      </c>
      <c r="E33" s="2">
        <v>1815</v>
      </c>
      <c r="F33" s="2">
        <v>779</v>
      </c>
      <c r="G33" s="26">
        <v>999</v>
      </c>
      <c r="H33" s="32">
        <v>23975</v>
      </c>
      <c r="I33" s="4">
        <v>0</v>
      </c>
      <c r="J33" s="23">
        <v>23975</v>
      </c>
    </row>
    <row r="34" spans="1:10" x14ac:dyDescent="0.25">
      <c r="A34" s="18" t="s">
        <v>42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298425</v>
      </c>
      <c r="C36" s="34">
        <f t="shared" ref="C36:J36" si="1">SUM(C25:C34)</f>
        <v>161537</v>
      </c>
      <c r="D36" s="34">
        <f t="shared" si="1"/>
        <v>43696</v>
      </c>
      <c r="E36" s="34">
        <f t="shared" si="1"/>
        <v>34574</v>
      </c>
      <c r="F36" s="34">
        <f t="shared" si="1"/>
        <v>90139</v>
      </c>
      <c r="G36" s="35">
        <f t="shared" si="1"/>
        <v>55347</v>
      </c>
      <c r="H36" s="30">
        <f t="shared" si="1"/>
        <v>683718</v>
      </c>
      <c r="I36" s="34">
        <f t="shared" si="1"/>
        <v>5510</v>
      </c>
      <c r="J36" s="41">
        <f t="shared" si="1"/>
        <v>689228</v>
      </c>
    </row>
    <row r="37" spans="1:10" ht="16.5" thickTop="1" thickBot="1" x14ac:dyDescent="0.3">
      <c r="A37" s="11" t="s">
        <v>27</v>
      </c>
      <c r="B37" s="37">
        <f t="shared" ref="B37:J37" si="2">SUM(B24,B36)</f>
        <v>343709</v>
      </c>
      <c r="C37" s="37">
        <f t="shared" si="2"/>
        <v>198871</v>
      </c>
      <c r="D37" s="37">
        <f t="shared" si="2"/>
        <v>58013</v>
      </c>
      <c r="E37" s="37">
        <f t="shared" si="2"/>
        <v>38926</v>
      </c>
      <c r="F37" s="37">
        <f t="shared" si="2"/>
        <v>105340</v>
      </c>
      <c r="G37" s="38">
        <f t="shared" si="2"/>
        <v>69284</v>
      </c>
      <c r="H37" s="40">
        <f t="shared" si="2"/>
        <v>814143</v>
      </c>
      <c r="I37" s="37">
        <f t="shared" si="2"/>
        <v>6630</v>
      </c>
      <c r="J37" s="39">
        <f t="shared" si="2"/>
        <v>820773</v>
      </c>
    </row>
    <row r="38" spans="1:10" ht="15.75" thickTop="1" x14ac:dyDescent="0.25">
      <c r="B38" s="12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tabSelected="1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53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3" customFormat="1" ht="30.75" thickBot="1" x14ac:dyDescent="0.3">
      <c r="A6" s="16" t="s">
        <v>0</v>
      </c>
      <c r="B6" s="14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24" t="s">
        <v>35</v>
      </c>
      <c r="H6" s="31" t="s">
        <v>36</v>
      </c>
      <c r="I6" s="29" t="s">
        <v>39</v>
      </c>
      <c r="J6" s="17" t="s">
        <v>37</v>
      </c>
    </row>
    <row r="7" spans="1:10" ht="15.75" thickTop="1" x14ac:dyDescent="0.25">
      <c r="A7" s="18" t="s">
        <v>1</v>
      </c>
      <c r="B7" s="57">
        <v>0</v>
      </c>
      <c r="C7" s="57">
        <v>0</v>
      </c>
      <c r="D7" s="57">
        <v>0</v>
      </c>
      <c r="E7" s="57">
        <v>0</v>
      </c>
      <c r="F7" s="57">
        <v>1</v>
      </c>
      <c r="G7" s="57">
        <v>0</v>
      </c>
      <c r="H7" s="32">
        <v>1</v>
      </c>
      <c r="I7" s="5">
        <v>0</v>
      </c>
      <c r="J7" s="19">
        <v>1</v>
      </c>
    </row>
    <row r="8" spans="1:10" x14ac:dyDescent="0.25">
      <c r="A8" s="18" t="s">
        <v>2</v>
      </c>
      <c r="B8" s="57">
        <v>2</v>
      </c>
      <c r="C8" s="57">
        <v>1</v>
      </c>
      <c r="D8" s="57">
        <v>0</v>
      </c>
      <c r="E8" s="57">
        <v>1</v>
      </c>
      <c r="F8" s="57">
        <v>2</v>
      </c>
      <c r="G8" s="57">
        <v>0</v>
      </c>
      <c r="H8" s="32">
        <v>6</v>
      </c>
      <c r="I8" s="4">
        <v>0</v>
      </c>
      <c r="J8" s="19">
        <v>6</v>
      </c>
    </row>
    <row r="9" spans="1:10" x14ac:dyDescent="0.25">
      <c r="A9" s="18" t="s">
        <v>3</v>
      </c>
      <c r="B9" s="57">
        <v>62</v>
      </c>
      <c r="C9" s="57">
        <v>32</v>
      </c>
      <c r="D9" s="57">
        <v>16</v>
      </c>
      <c r="E9" s="57">
        <v>4</v>
      </c>
      <c r="F9" s="57">
        <v>41</v>
      </c>
      <c r="G9" s="57">
        <v>25</v>
      </c>
      <c r="H9" s="32">
        <v>180</v>
      </c>
      <c r="I9" s="4">
        <v>1</v>
      </c>
      <c r="J9" s="19">
        <v>181</v>
      </c>
    </row>
    <row r="10" spans="1:10" x14ac:dyDescent="0.25">
      <c r="A10" s="18" t="s">
        <v>4</v>
      </c>
      <c r="B10" s="57">
        <v>168</v>
      </c>
      <c r="C10" s="57">
        <v>79</v>
      </c>
      <c r="D10" s="57">
        <v>23</v>
      </c>
      <c r="E10" s="57">
        <v>8</v>
      </c>
      <c r="F10" s="57">
        <v>135</v>
      </c>
      <c r="G10" s="57">
        <v>57</v>
      </c>
      <c r="H10" s="32">
        <v>470</v>
      </c>
      <c r="I10" s="4">
        <v>0</v>
      </c>
      <c r="J10" s="19">
        <v>470</v>
      </c>
    </row>
    <row r="11" spans="1:10" x14ac:dyDescent="0.25">
      <c r="A11" s="18" t="s">
        <v>5</v>
      </c>
      <c r="B11" s="58">
        <v>1400</v>
      </c>
      <c r="C11" s="58">
        <v>1783</v>
      </c>
      <c r="D11" s="58">
        <v>1273</v>
      </c>
      <c r="E11" s="57">
        <v>286</v>
      </c>
      <c r="F11" s="58">
        <v>992</v>
      </c>
      <c r="G11" s="58">
        <v>1054</v>
      </c>
      <c r="H11" s="32">
        <v>6788</v>
      </c>
      <c r="I11" s="4">
        <v>31</v>
      </c>
      <c r="J11" s="19">
        <v>6819</v>
      </c>
    </row>
    <row r="12" spans="1:10" x14ac:dyDescent="0.25">
      <c r="A12" s="18" t="s">
        <v>6</v>
      </c>
      <c r="B12" s="58">
        <v>3542</v>
      </c>
      <c r="C12" s="58">
        <v>5122</v>
      </c>
      <c r="D12" s="58">
        <v>3230</v>
      </c>
      <c r="E12" s="57">
        <v>753</v>
      </c>
      <c r="F12" s="58">
        <v>3919</v>
      </c>
      <c r="G12" s="58">
        <v>3837</v>
      </c>
      <c r="H12" s="32">
        <v>20403</v>
      </c>
      <c r="I12" s="4">
        <v>139</v>
      </c>
      <c r="J12" s="19">
        <v>20542</v>
      </c>
    </row>
    <row r="13" spans="1:10" x14ac:dyDescent="0.25">
      <c r="A13" s="18" t="s">
        <v>7</v>
      </c>
      <c r="B13" s="58">
        <v>6564</v>
      </c>
      <c r="C13" s="58">
        <v>7304</v>
      </c>
      <c r="D13" s="58">
        <v>4751</v>
      </c>
      <c r="E13" s="58">
        <v>1204</v>
      </c>
      <c r="F13" s="58">
        <v>4368</v>
      </c>
      <c r="G13" s="58">
        <v>5168</v>
      </c>
      <c r="H13" s="32">
        <v>29359</v>
      </c>
      <c r="I13" s="4">
        <v>329</v>
      </c>
      <c r="J13" s="19">
        <v>29688</v>
      </c>
    </row>
    <row r="14" spans="1:10" x14ac:dyDescent="0.25">
      <c r="A14" s="18" t="s">
        <v>8</v>
      </c>
      <c r="B14" s="58">
        <v>10419</v>
      </c>
      <c r="C14" s="58">
        <v>10691</v>
      </c>
      <c r="D14" s="58">
        <v>3812</v>
      </c>
      <c r="E14" s="58">
        <v>1285</v>
      </c>
      <c r="F14" s="58">
        <v>3475</v>
      </c>
      <c r="G14" s="58">
        <v>2829</v>
      </c>
      <c r="H14" s="32">
        <v>32511</v>
      </c>
      <c r="I14" s="4">
        <v>372</v>
      </c>
      <c r="J14" s="19">
        <v>32883</v>
      </c>
    </row>
    <row r="15" spans="1:10" x14ac:dyDescent="0.25">
      <c r="A15" s="18" t="s">
        <v>9</v>
      </c>
      <c r="B15" s="58">
        <v>9298</v>
      </c>
      <c r="C15" s="58">
        <v>6305</v>
      </c>
      <c r="D15" s="57">
        <v>688</v>
      </c>
      <c r="E15" s="57">
        <v>276</v>
      </c>
      <c r="F15" s="58">
        <v>1247</v>
      </c>
      <c r="G15" s="57">
        <v>606</v>
      </c>
      <c r="H15" s="32">
        <v>18420</v>
      </c>
      <c r="I15" s="4">
        <v>56</v>
      </c>
      <c r="J15" s="19">
        <v>18476</v>
      </c>
    </row>
    <row r="16" spans="1:10" x14ac:dyDescent="0.25">
      <c r="A16" s="18" t="s">
        <v>10</v>
      </c>
      <c r="B16" s="58">
        <v>5505</v>
      </c>
      <c r="C16" s="58">
        <v>2621</v>
      </c>
      <c r="D16" s="57">
        <v>420</v>
      </c>
      <c r="E16" s="57">
        <v>268</v>
      </c>
      <c r="F16" s="58">
        <v>1052</v>
      </c>
      <c r="G16" s="57">
        <v>336</v>
      </c>
      <c r="H16" s="32">
        <v>10202</v>
      </c>
      <c r="I16" s="4">
        <v>55</v>
      </c>
      <c r="J16" s="19">
        <v>10257</v>
      </c>
    </row>
    <row r="17" spans="1:10" x14ac:dyDescent="0.25">
      <c r="A17" s="18" t="s">
        <v>11</v>
      </c>
      <c r="B17" s="57">
        <v>395</v>
      </c>
      <c r="C17" s="57">
        <v>107</v>
      </c>
      <c r="D17" s="57">
        <v>2</v>
      </c>
      <c r="E17" s="57">
        <v>16</v>
      </c>
      <c r="F17" s="57">
        <v>0</v>
      </c>
      <c r="G17" s="57">
        <v>0</v>
      </c>
      <c r="H17" s="32">
        <v>520</v>
      </c>
      <c r="I17" s="4">
        <v>0</v>
      </c>
      <c r="J17" s="19">
        <v>520</v>
      </c>
    </row>
    <row r="18" spans="1:10" x14ac:dyDescent="0.25">
      <c r="A18" s="18" t="s">
        <v>12</v>
      </c>
      <c r="B18" s="58">
        <v>1409</v>
      </c>
      <c r="C18" s="57">
        <v>511</v>
      </c>
      <c r="D18" s="57">
        <v>14</v>
      </c>
      <c r="E18" s="57">
        <v>34</v>
      </c>
      <c r="F18" s="57">
        <v>0</v>
      </c>
      <c r="G18" s="57">
        <v>0</v>
      </c>
      <c r="H18" s="32">
        <v>1968</v>
      </c>
      <c r="I18" s="4">
        <v>30</v>
      </c>
      <c r="J18" s="19">
        <v>1998</v>
      </c>
    </row>
    <row r="19" spans="1:10" x14ac:dyDescent="0.25">
      <c r="A19" s="18" t="s">
        <v>13</v>
      </c>
      <c r="B19" s="58">
        <v>2164</v>
      </c>
      <c r="C19" s="57">
        <v>1010</v>
      </c>
      <c r="D19" s="57">
        <v>38</v>
      </c>
      <c r="E19" s="57">
        <v>83</v>
      </c>
      <c r="F19" s="57">
        <v>0</v>
      </c>
      <c r="G19" s="57">
        <v>0</v>
      </c>
      <c r="H19" s="32">
        <v>3295</v>
      </c>
      <c r="I19" s="4">
        <v>54</v>
      </c>
      <c r="J19" s="19">
        <v>3349</v>
      </c>
    </row>
    <row r="20" spans="1:10" x14ac:dyDescent="0.25">
      <c r="A20" s="18" t="s">
        <v>14</v>
      </c>
      <c r="B20" s="58">
        <v>3454</v>
      </c>
      <c r="C20" s="58">
        <v>1355</v>
      </c>
      <c r="D20" s="57">
        <v>30</v>
      </c>
      <c r="E20" s="57">
        <v>82</v>
      </c>
      <c r="F20" s="57">
        <v>0</v>
      </c>
      <c r="G20" s="57">
        <v>0</v>
      </c>
      <c r="H20" s="32">
        <v>4921</v>
      </c>
      <c r="I20" s="4">
        <v>43</v>
      </c>
      <c r="J20" s="19">
        <v>4964</v>
      </c>
    </row>
    <row r="21" spans="1:10" x14ac:dyDescent="0.25">
      <c r="A21" s="18" t="s">
        <v>15</v>
      </c>
      <c r="B21" s="58">
        <v>1145</v>
      </c>
      <c r="C21" s="57">
        <v>426</v>
      </c>
      <c r="D21" s="57">
        <v>0</v>
      </c>
      <c r="E21" s="57">
        <v>18</v>
      </c>
      <c r="F21" s="57">
        <v>0</v>
      </c>
      <c r="G21" s="57">
        <v>0</v>
      </c>
      <c r="H21" s="32">
        <v>1589</v>
      </c>
      <c r="I21" s="4">
        <v>0</v>
      </c>
      <c r="J21" s="19">
        <v>1589</v>
      </c>
    </row>
    <row r="22" spans="1:10" x14ac:dyDescent="0.25">
      <c r="A22" s="18" t="s">
        <v>41</v>
      </c>
      <c r="B22" s="57">
        <v>1</v>
      </c>
      <c r="C22" s="57">
        <v>0</v>
      </c>
      <c r="D22" s="57">
        <v>0</v>
      </c>
      <c r="E22" s="57">
        <v>0</v>
      </c>
      <c r="F22" s="57">
        <v>0</v>
      </c>
      <c r="G22" s="57">
        <v>1</v>
      </c>
      <c r="H22" s="32">
        <v>2</v>
      </c>
      <c r="I22" s="4">
        <v>0</v>
      </c>
      <c r="J22" s="19">
        <v>2</v>
      </c>
    </row>
    <row r="23" spans="1:10" ht="15.75" thickBot="1" x14ac:dyDescent="0.3">
      <c r="A23" s="20"/>
      <c r="B23" s="7"/>
      <c r="C23" s="8"/>
      <c r="D23" s="8"/>
      <c r="E23" s="8"/>
      <c r="F23" s="8"/>
      <c r="G23" s="27"/>
      <c r="H23" s="33"/>
      <c r="I23" s="7" t="s">
        <v>38</v>
      </c>
      <c r="J23" s="21"/>
    </row>
    <row r="24" spans="1:10" ht="15.75" thickBot="1" x14ac:dyDescent="0.3">
      <c r="A24" s="22" t="s">
        <v>16</v>
      </c>
      <c r="B24" s="34">
        <f>SUM(B7:B22)</f>
        <v>45528</v>
      </c>
      <c r="C24" s="34">
        <f>SUM(C7:C22)</f>
        <v>37347</v>
      </c>
      <c r="D24" s="34">
        <f>SUM(D7:D22)</f>
        <v>14297</v>
      </c>
      <c r="E24" s="34">
        <f>SUM(E7:E22)</f>
        <v>4318</v>
      </c>
      <c r="F24" s="34">
        <f>SUM(F7:F22)</f>
        <v>15232</v>
      </c>
      <c r="G24" s="35">
        <f>SUM(G7:G22)</f>
        <v>13913</v>
      </c>
      <c r="H24" s="30">
        <f>SUM(H7:H22)</f>
        <v>130635</v>
      </c>
      <c r="I24" s="34">
        <f>SUM(I7:I22)</f>
        <v>1110</v>
      </c>
      <c r="J24" s="36">
        <f>SUM(J7:J22)</f>
        <v>131745</v>
      </c>
    </row>
    <row r="25" spans="1:10" x14ac:dyDescent="0.25">
      <c r="A25" s="18" t="s">
        <v>17</v>
      </c>
      <c r="B25" s="5">
        <v>2049</v>
      </c>
      <c r="C25" s="6">
        <v>1561</v>
      </c>
      <c r="D25" s="6">
        <v>359</v>
      </c>
      <c r="E25" s="6">
        <v>173</v>
      </c>
      <c r="F25" s="6">
        <v>1931</v>
      </c>
      <c r="G25" s="25">
        <v>960</v>
      </c>
      <c r="H25" s="32">
        <v>7033</v>
      </c>
      <c r="I25" s="5">
        <v>72</v>
      </c>
      <c r="J25" s="23">
        <v>7105</v>
      </c>
    </row>
    <row r="26" spans="1:10" x14ac:dyDescent="0.25">
      <c r="A26" s="18" t="s">
        <v>18</v>
      </c>
      <c r="B26" s="4">
        <v>7275</v>
      </c>
      <c r="C26" s="2">
        <v>5757</v>
      </c>
      <c r="D26" s="2">
        <v>890</v>
      </c>
      <c r="E26" s="2">
        <v>519</v>
      </c>
      <c r="F26" s="2">
        <v>4437</v>
      </c>
      <c r="G26" s="26">
        <v>2916</v>
      </c>
      <c r="H26" s="32">
        <v>21794</v>
      </c>
      <c r="I26" s="4">
        <v>119</v>
      </c>
      <c r="J26" s="23">
        <v>21913</v>
      </c>
    </row>
    <row r="27" spans="1:10" x14ac:dyDescent="0.25">
      <c r="A27" s="18" t="s">
        <v>19</v>
      </c>
      <c r="B27" s="4">
        <v>20344</v>
      </c>
      <c r="C27" s="2">
        <v>14576</v>
      </c>
      <c r="D27" s="2">
        <v>3675</v>
      </c>
      <c r="E27" s="2">
        <v>1063</v>
      </c>
      <c r="F27" s="2">
        <v>15099</v>
      </c>
      <c r="G27" s="26">
        <v>8314</v>
      </c>
      <c r="H27" s="32">
        <v>63071</v>
      </c>
      <c r="I27" s="4">
        <v>681</v>
      </c>
      <c r="J27" s="23">
        <v>63752</v>
      </c>
    </row>
    <row r="28" spans="1:10" x14ac:dyDescent="0.25">
      <c r="A28" s="18" t="s">
        <v>20</v>
      </c>
      <c r="B28" s="4">
        <v>38293</v>
      </c>
      <c r="C28" s="2">
        <v>19991</v>
      </c>
      <c r="D28" s="2">
        <v>10261</v>
      </c>
      <c r="E28" s="2">
        <v>2074</v>
      </c>
      <c r="F28" s="2">
        <v>18623</v>
      </c>
      <c r="G28" s="26">
        <v>12242</v>
      </c>
      <c r="H28" s="32">
        <v>101484</v>
      </c>
      <c r="I28" s="4">
        <v>1466</v>
      </c>
      <c r="J28" s="23">
        <v>102950</v>
      </c>
    </row>
    <row r="29" spans="1:10" x14ac:dyDescent="0.25">
      <c r="A29" s="18" t="s">
        <v>21</v>
      </c>
      <c r="B29" s="4">
        <v>62715</v>
      </c>
      <c r="C29" s="2">
        <v>33256</v>
      </c>
      <c r="D29" s="2">
        <v>13697</v>
      </c>
      <c r="E29" s="2">
        <v>4556</v>
      </c>
      <c r="F29" s="2">
        <v>20017</v>
      </c>
      <c r="G29" s="26">
        <v>11936</v>
      </c>
      <c r="H29" s="32">
        <v>146177</v>
      </c>
      <c r="I29" s="4">
        <v>1676</v>
      </c>
      <c r="J29" s="23">
        <v>147853</v>
      </c>
    </row>
    <row r="30" spans="1:10" x14ac:dyDescent="0.25">
      <c r="A30" s="18" t="s">
        <v>22</v>
      </c>
      <c r="B30" s="4">
        <v>98084</v>
      </c>
      <c r="C30" s="2">
        <v>54684</v>
      </c>
      <c r="D30" s="2">
        <v>8000</v>
      </c>
      <c r="E30" s="2">
        <v>6618</v>
      </c>
      <c r="F30" s="2">
        <v>16226</v>
      </c>
      <c r="G30" s="26">
        <v>13864</v>
      </c>
      <c r="H30" s="32">
        <v>197476</v>
      </c>
      <c r="I30" s="4">
        <v>1356</v>
      </c>
      <c r="J30" s="23">
        <v>198832</v>
      </c>
    </row>
    <row r="31" spans="1:10" x14ac:dyDescent="0.25">
      <c r="A31" s="18" t="s">
        <v>23</v>
      </c>
      <c r="B31" s="4">
        <v>37070</v>
      </c>
      <c r="C31" s="2">
        <v>17168</v>
      </c>
      <c r="D31" s="2">
        <v>4426</v>
      </c>
      <c r="E31" s="2">
        <v>14349</v>
      </c>
      <c r="F31" s="2">
        <v>13026</v>
      </c>
      <c r="G31" s="26">
        <v>3505</v>
      </c>
      <c r="H31" s="32">
        <v>89544</v>
      </c>
      <c r="I31" s="4">
        <v>92</v>
      </c>
      <c r="J31" s="23">
        <v>89636</v>
      </c>
    </row>
    <row r="32" spans="1:10" x14ac:dyDescent="0.25">
      <c r="A32" s="18" t="s">
        <v>24</v>
      </c>
      <c r="B32" s="4">
        <v>18769</v>
      </c>
      <c r="C32" s="2">
        <v>6801</v>
      </c>
      <c r="D32" s="2">
        <v>1375</v>
      </c>
      <c r="E32" s="2">
        <v>3263</v>
      </c>
      <c r="F32" s="2">
        <v>442</v>
      </c>
      <c r="G32" s="26">
        <v>722</v>
      </c>
      <c r="H32" s="32">
        <v>31372</v>
      </c>
      <c r="I32" s="4">
        <v>1</v>
      </c>
      <c r="J32" s="23">
        <v>31373</v>
      </c>
    </row>
    <row r="33" spans="1:10" x14ac:dyDescent="0.25">
      <c r="A33" s="18" t="s">
        <v>25</v>
      </c>
      <c r="B33" s="2">
        <v>11462</v>
      </c>
      <c r="C33" s="2">
        <v>7254</v>
      </c>
      <c r="D33" s="2">
        <v>1000</v>
      </c>
      <c r="E33" s="2">
        <v>1584</v>
      </c>
      <c r="F33" s="2">
        <v>854</v>
      </c>
      <c r="G33" s="26">
        <v>992</v>
      </c>
      <c r="H33" s="32">
        <v>23146</v>
      </c>
      <c r="I33" s="4">
        <v>0</v>
      </c>
      <c r="J33" s="23">
        <v>23146</v>
      </c>
    </row>
    <row r="34" spans="1:10" x14ac:dyDescent="0.25">
      <c r="A34" s="18" t="s">
        <v>42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32">
        <v>0</v>
      </c>
      <c r="I34" s="4">
        <v>0</v>
      </c>
      <c r="J34" s="19"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8"/>
      <c r="H35" s="32"/>
      <c r="I35" s="4"/>
      <c r="J35" s="23"/>
    </row>
    <row r="36" spans="1:10" ht="15.75" thickBot="1" x14ac:dyDescent="0.3">
      <c r="A36" s="22" t="s">
        <v>26</v>
      </c>
      <c r="B36" s="34">
        <f>SUM(B25:B34)</f>
        <v>296061</v>
      </c>
      <c r="C36" s="34">
        <f>SUM(C25:C34)</f>
        <v>161048</v>
      </c>
      <c r="D36" s="34">
        <f>SUM(D25:D34)</f>
        <v>43683</v>
      </c>
      <c r="E36" s="34">
        <f>SUM(E25:E34)</f>
        <v>34199</v>
      </c>
      <c r="F36" s="34">
        <f>SUM(F25:F34)</f>
        <v>90655</v>
      </c>
      <c r="G36" s="35">
        <f>SUM(G25:G34)</f>
        <v>55451</v>
      </c>
      <c r="H36" s="30">
        <f>SUM(H25:H34)</f>
        <v>681097</v>
      </c>
      <c r="I36" s="34">
        <f>SUM(I25:I34)</f>
        <v>5463</v>
      </c>
      <c r="J36" s="36">
        <f>SUM(J25:J34)</f>
        <v>686560</v>
      </c>
    </row>
    <row r="37" spans="1:10" ht="16.5" thickTop="1" thickBot="1" x14ac:dyDescent="0.3">
      <c r="A37" s="11" t="s">
        <v>27</v>
      </c>
      <c r="B37" s="37">
        <f>SUM(B24,B36)</f>
        <v>341589</v>
      </c>
      <c r="C37" s="37">
        <f>SUM(C24,C36)</f>
        <v>198395</v>
      </c>
      <c r="D37" s="37">
        <f>SUM(D24,D36)</f>
        <v>57980</v>
      </c>
      <c r="E37" s="37">
        <f>SUM(E24,E36)</f>
        <v>38517</v>
      </c>
      <c r="F37" s="37">
        <f>SUM(F24,F36)</f>
        <v>105887</v>
      </c>
      <c r="G37" s="38">
        <f>SUM(G24,G36)</f>
        <v>69364</v>
      </c>
      <c r="H37" s="40">
        <f>SUM(H24,H36)</f>
        <v>811732</v>
      </c>
      <c r="I37" s="37">
        <f>SUM(I24,I36)</f>
        <v>6573</v>
      </c>
      <c r="J37" s="59">
        <f>SUM(J24,J36)</f>
        <v>818305</v>
      </c>
    </row>
    <row r="38" spans="1:10" ht="15.75" thickTop="1" x14ac:dyDescent="0.25">
      <c r="B38" s="12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DRS 42486 - 201510</vt:lpstr>
      <vt:lpstr>DRS 42486 - 201511</vt:lpstr>
      <vt:lpstr>DRS 42486 - 201512</vt:lpstr>
      <vt:lpstr>DRS 42486 - 201601</vt:lpstr>
      <vt:lpstr>DRS 42486 - 201602</vt:lpstr>
      <vt:lpstr>DRS 42486 - 201603</vt:lpstr>
      <vt:lpstr>DRS 42486 - 201605</vt:lpstr>
      <vt:lpstr>DRS 42486 - 201606</vt:lpstr>
      <vt:lpstr>DRS 42486 - 201607</vt:lpstr>
      <vt:lpstr>DRS 42486 - 201608</vt:lpstr>
      <vt:lpstr>DRS 42486 - 201609</vt:lpstr>
      <vt:lpstr>'DRS 42486 - 201510'!Print_Area</vt:lpstr>
      <vt:lpstr>'DRS 42486 - 201511'!Print_Area</vt:lpstr>
      <vt:lpstr>'DRS 42486 - 201512'!Print_Area</vt:lpstr>
      <vt:lpstr>'DRS 42486 - 201601'!Print_Area</vt:lpstr>
      <vt:lpstr>'DRS 42486 - 201602'!Print_Area</vt:lpstr>
      <vt:lpstr>'DRS 42486 - 201603'!Print_Area</vt:lpstr>
      <vt:lpstr>'DRS 42486 - 201605'!Print_Area</vt:lpstr>
      <vt:lpstr>'DRS 42486 - 201606'!Print_Area</vt:lpstr>
      <vt:lpstr>'DRS 42486 - 201607'!Print_Area</vt:lpstr>
      <vt:lpstr>'DRS 42486 - 201608'!Print_Area</vt:lpstr>
      <vt:lpstr>'DRS 42486 - 201609'!Print_Area</vt:lpstr>
    </vt:vector>
  </TitlesOfParts>
  <Company>Defense Manpower Data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2015-03-04T20:51:17Z</cp:lastPrinted>
  <dcterms:created xsi:type="dcterms:W3CDTF">2012-07-23T22:14:11Z</dcterms:created>
  <dcterms:modified xsi:type="dcterms:W3CDTF">2018-11-05T21:29:12Z</dcterms:modified>
</cp:coreProperties>
</file>