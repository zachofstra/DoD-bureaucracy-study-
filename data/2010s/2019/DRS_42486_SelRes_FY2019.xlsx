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scott_l_seggerman_civ_mail_mil/Documents/Documents/DRS 42486/"/>
    </mc:Choice>
  </mc:AlternateContent>
  <bookViews>
    <workbookView xWindow="3300" yWindow="8330" windowWidth="15600" windowHeight="7830" firstSheet="8" activeTab="10"/>
  </bookViews>
  <sheets>
    <sheet name="42486 - Sel Res 201811" sheetId="12" r:id="rId1"/>
    <sheet name="42486 - Sel Res 201812" sheetId="11" r:id="rId2"/>
    <sheet name="42486 - Sel Res 201901" sheetId="9" r:id="rId3"/>
    <sheet name="42486 - Sel Res 201902" sheetId="8" r:id="rId4"/>
    <sheet name="42486 - Sel Res 201903" sheetId="7" r:id="rId5"/>
    <sheet name="42486 - Sel Res 201904" sheetId="6" r:id="rId6"/>
    <sheet name="42486 - Sel Res 201905" sheetId="5" r:id="rId7"/>
    <sheet name="42486 - Sel Res 201906" sheetId="4" r:id="rId8"/>
    <sheet name="42486 - Sel Res 201907" sheetId="3" r:id="rId9"/>
    <sheet name="42486 - Sel Res 201908" sheetId="2" r:id="rId10"/>
    <sheet name="42486 - Sel Res 201909" sheetId="1" r:id="rId11"/>
  </sheets>
  <definedNames>
    <definedName name="_xlnm.Print_Area" localSheetId="0">'42486 - Sel Res 201811'!$A$1:$J$38</definedName>
    <definedName name="_xlnm.Print_Area" localSheetId="1">'42486 - Sel Res 201812'!$A$1:$J$38</definedName>
    <definedName name="_xlnm.Print_Area" localSheetId="2">'42486 - Sel Res 201901'!$A$1:$J$38</definedName>
    <definedName name="_xlnm.Print_Area" localSheetId="3">'42486 - Sel Res 201902'!$A$1:$J$38</definedName>
    <definedName name="_xlnm.Print_Area" localSheetId="4">'42486 - Sel Res 201903'!$A$1:$J$38</definedName>
    <definedName name="_xlnm.Print_Area" localSheetId="5">'42486 - Sel Res 201904'!$A$1:$J$38</definedName>
    <definedName name="_xlnm.Print_Area" localSheetId="6">'42486 - Sel Res 201905'!$A$1:$J$38</definedName>
    <definedName name="_xlnm.Print_Area" localSheetId="7">'42486 - Sel Res 201906'!$A$1:$J$38</definedName>
    <definedName name="_xlnm.Print_Area" localSheetId="8">'42486 - Sel Res 201907'!$A$1:$J$38</definedName>
    <definedName name="_xlnm.Print_Area" localSheetId="9">'42486 - Sel Res 201908'!$A$1:$J$38</definedName>
    <definedName name="_xlnm.Print_Area" localSheetId="10">'42486 - Sel Res 201909'!$A$1:$J$38</definedName>
  </definedNames>
  <calcPr calcId="162913"/>
</workbook>
</file>

<file path=xl/calcChain.xml><?xml version="1.0" encoding="utf-8"?>
<calcChain xmlns="http://schemas.openxmlformats.org/spreadsheetml/2006/main">
  <c r="B24" i="12" l="1"/>
  <c r="C24" i="12"/>
  <c r="D24" i="12"/>
  <c r="E24" i="12"/>
  <c r="F24" i="12"/>
  <c r="G24" i="12"/>
  <c r="H24" i="12"/>
  <c r="H37" i="12" s="1"/>
  <c r="I24" i="12"/>
  <c r="I37" i="12" s="1"/>
  <c r="J24" i="12"/>
  <c r="B36" i="12"/>
  <c r="C36" i="12"/>
  <c r="D36" i="12"/>
  <c r="E36" i="12"/>
  <c r="F36" i="12"/>
  <c r="G36" i="12"/>
  <c r="H36" i="12"/>
  <c r="I36" i="12"/>
  <c r="J36" i="12"/>
  <c r="B37" i="12"/>
  <c r="C37" i="12"/>
  <c r="D37" i="12"/>
  <c r="E37" i="12"/>
  <c r="F37" i="12"/>
  <c r="G37" i="12"/>
  <c r="J37" i="12"/>
  <c r="B24" i="11"/>
  <c r="C24" i="11"/>
  <c r="D24" i="11"/>
  <c r="D37" i="11" s="1"/>
  <c r="E24" i="11"/>
  <c r="F24" i="11"/>
  <c r="G24" i="11"/>
  <c r="H24" i="11"/>
  <c r="H37" i="11" s="1"/>
  <c r="I24" i="11"/>
  <c r="I37" i="11" s="1"/>
  <c r="J24" i="11"/>
  <c r="B36" i="11"/>
  <c r="C36" i="11"/>
  <c r="C37" i="11" s="1"/>
  <c r="D36" i="11"/>
  <c r="E36" i="11"/>
  <c r="F36" i="11"/>
  <c r="G36" i="11"/>
  <c r="H36" i="11"/>
  <c r="I36" i="11"/>
  <c r="J36" i="11"/>
  <c r="B37" i="11"/>
  <c r="E37" i="11"/>
  <c r="F37" i="11"/>
  <c r="G37" i="11"/>
  <c r="J37" i="11"/>
  <c r="B24" i="9" l="1"/>
  <c r="C24" i="9"/>
  <c r="D24" i="9"/>
  <c r="E24" i="9"/>
  <c r="F24" i="9"/>
  <c r="F37" i="9" s="1"/>
  <c r="G24" i="9"/>
  <c r="G37" i="9" s="1"/>
  <c r="H24" i="9"/>
  <c r="H37" i="9" s="1"/>
  <c r="I24" i="9"/>
  <c r="I37" i="9" s="1"/>
  <c r="J24" i="9"/>
  <c r="B36" i="9"/>
  <c r="C36" i="9"/>
  <c r="D36" i="9"/>
  <c r="E36" i="9"/>
  <c r="F36" i="9"/>
  <c r="G36" i="9"/>
  <c r="H36" i="9"/>
  <c r="I36" i="9"/>
  <c r="J36" i="9"/>
  <c r="B37" i="9"/>
  <c r="C37" i="9"/>
  <c r="D37" i="9"/>
  <c r="E37" i="9"/>
  <c r="J37" i="9"/>
  <c r="B24" i="8"/>
  <c r="C24" i="8"/>
  <c r="D24" i="8"/>
  <c r="E24" i="8"/>
  <c r="F24" i="8"/>
  <c r="G24" i="8"/>
  <c r="H24" i="8"/>
  <c r="H37" i="8" s="1"/>
  <c r="I24" i="8"/>
  <c r="I37" i="8" s="1"/>
  <c r="J24" i="8"/>
  <c r="B36" i="8"/>
  <c r="C36" i="8"/>
  <c r="D36" i="8"/>
  <c r="E36" i="8"/>
  <c r="E37" i="8" s="1"/>
  <c r="F36" i="8"/>
  <c r="G36" i="8"/>
  <c r="H36" i="8"/>
  <c r="I36" i="8"/>
  <c r="J36" i="8"/>
  <c r="B37" i="8"/>
  <c r="C37" i="8"/>
  <c r="D37" i="8"/>
  <c r="F37" i="8"/>
  <c r="G37" i="8"/>
  <c r="J37" i="8"/>
  <c r="B24" i="7"/>
  <c r="C24" i="7"/>
  <c r="D24" i="7"/>
  <c r="E24" i="7"/>
  <c r="F24" i="7"/>
  <c r="G24" i="7"/>
  <c r="H24" i="7"/>
  <c r="H37" i="7" s="1"/>
  <c r="I24" i="7"/>
  <c r="I37" i="7" s="1"/>
  <c r="J24" i="7"/>
  <c r="B36" i="7"/>
  <c r="C36" i="7"/>
  <c r="D36" i="7"/>
  <c r="E36" i="7"/>
  <c r="E37" i="7" s="1"/>
  <c r="F36" i="7"/>
  <c r="G36" i="7"/>
  <c r="H36" i="7"/>
  <c r="I36" i="7"/>
  <c r="J36" i="7"/>
  <c r="B37" i="7"/>
  <c r="C37" i="7"/>
  <c r="D37" i="7"/>
  <c r="F37" i="7"/>
  <c r="G37" i="7"/>
  <c r="J37" i="7"/>
  <c r="B24" i="6"/>
  <c r="C24" i="6"/>
  <c r="D24" i="6"/>
  <c r="E24" i="6"/>
  <c r="F24" i="6"/>
  <c r="G24" i="6"/>
  <c r="H24" i="6"/>
  <c r="H37" i="6" s="1"/>
  <c r="I24" i="6"/>
  <c r="I37" i="6" s="1"/>
  <c r="J24" i="6"/>
  <c r="B36" i="6"/>
  <c r="C36" i="6"/>
  <c r="D36" i="6"/>
  <c r="E36" i="6"/>
  <c r="F36" i="6"/>
  <c r="G36" i="6"/>
  <c r="H36" i="6"/>
  <c r="I36" i="6"/>
  <c r="J36" i="6"/>
  <c r="B37" i="6"/>
  <c r="C37" i="6"/>
  <c r="D37" i="6"/>
  <c r="E37" i="6"/>
  <c r="F37" i="6"/>
  <c r="G37" i="6"/>
  <c r="J37" i="6"/>
  <c r="B24" i="5"/>
  <c r="C24" i="5"/>
  <c r="D24" i="5"/>
  <c r="E24" i="5"/>
  <c r="F24" i="5"/>
  <c r="G24" i="5"/>
  <c r="H24" i="5"/>
  <c r="H37" i="5" s="1"/>
  <c r="I24" i="5"/>
  <c r="I37" i="5" s="1"/>
  <c r="J24" i="5"/>
  <c r="B36" i="5"/>
  <c r="C36" i="5"/>
  <c r="D36" i="5"/>
  <c r="E36" i="5"/>
  <c r="F36" i="5"/>
  <c r="F37" i="5" s="1"/>
  <c r="G36" i="5"/>
  <c r="H36" i="5"/>
  <c r="I36" i="5"/>
  <c r="J36" i="5"/>
  <c r="B37" i="5"/>
  <c r="C37" i="5"/>
  <c r="D37" i="5"/>
  <c r="E37" i="5"/>
  <c r="G37" i="5"/>
  <c r="J37" i="5"/>
  <c r="B24" i="4"/>
  <c r="C24" i="4"/>
  <c r="D24" i="4"/>
  <c r="E24" i="4"/>
  <c r="F24" i="4"/>
  <c r="G24" i="4"/>
  <c r="H24" i="4"/>
  <c r="H37" i="4" s="1"/>
  <c r="I24" i="4"/>
  <c r="I37" i="4" s="1"/>
  <c r="J24" i="4"/>
  <c r="B36" i="4"/>
  <c r="C36" i="4"/>
  <c r="D36" i="4"/>
  <c r="E36" i="4"/>
  <c r="F36" i="4"/>
  <c r="G36" i="4"/>
  <c r="H36" i="4"/>
  <c r="I36" i="4"/>
  <c r="J36" i="4"/>
  <c r="B37" i="4"/>
  <c r="C37" i="4"/>
  <c r="D37" i="4"/>
  <c r="E37" i="4"/>
  <c r="F37" i="4"/>
  <c r="G37" i="4"/>
  <c r="J37" i="4"/>
  <c r="B24" i="3"/>
  <c r="C24" i="3"/>
  <c r="D24" i="3"/>
  <c r="E24" i="3"/>
  <c r="F24" i="3"/>
  <c r="G24" i="3"/>
  <c r="H24" i="3"/>
  <c r="H37" i="3" s="1"/>
  <c r="I24" i="3"/>
  <c r="I37" i="3" s="1"/>
  <c r="J24" i="3"/>
  <c r="B36" i="3"/>
  <c r="C36" i="3"/>
  <c r="D36" i="3"/>
  <c r="E36" i="3"/>
  <c r="F36" i="3"/>
  <c r="G36" i="3"/>
  <c r="H36" i="3"/>
  <c r="I36" i="3"/>
  <c r="J36" i="3"/>
  <c r="B37" i="3"/>
  <c r="C37" i="3"/>
  <c r="D37" i="3"/>
  <c r="E37" i="3"/>
  <c r="F37" i="3"/>
  <c r="G37" i="3"/>
  <c r="J37" i="3"/>
  <c r="C37" i="2"/>
  <c r="J36" i="2"/>
  <c r="I36" i="2"/>
  <c r="H36" i="2"/>
  <c r="G36" i="2"/>
  <c r="F36" i="2"/>
  <c r="E36" i="2"/>
  <c r="D36" i="2"/>
  <c r="D37" i="2" s="1"/>
  <c r="C36" i="2"/>
  <c r="B36" i="2"/>
  <c r="J24" i="2"/>
  <c r="J37" i="2" s="1"/>
  <c r="I24" i="2"/>
  <c r="I37" i="2" s="1"/>
  <c r="H24" i="2"/>
  <c r="H37" i="2" s="1"/>
  <c r="G24" i="2"/>
  <c r="G37" i="2" s="1"/>
  <c r="F24" i="2"/>
  <c r="F37" i="2" s="1"/>
  <c r="E24" i="2"/>
  <c r="E37" i="2" s="1"/>
  <c r="D24" i="2"/>
  <c r="C24" i="2"/>
  <c r="B24" i="2"/>
  <c r="B37" i="2" s="1"/>
  <c r="J24" i="1" l="1"/>
  <c r="I24" i="1"/>
  <c r="H24" i="1"/>
  <c r="C24" i="1"/>
  <c r="D24" i="1"/>
  <c r="E24" i="1"/>
  <c r="F24" i="1"/>
  <c r="G24" i="1"/>
  <c r="B24" i="1"/>
  <c r="C36" i="1" l="1"/>
  <c r="D36" i="1"/>
  <c r="E36" i="1"/>
  <c r="F36" i="1"/>
  <c r="G36" i="1"/>
  <c r="H36" i="1"/>
  <c r="I36" i="1"/>
  <c r="J36" i="1"/>
  <c r="B36" i="1"/>
  <c r="I37" i="1" l="1"/>
  <c r="E37" i="1" l="1"/>
  <c r="F37" i="1"/>
  <c r="J37" i="1" l="1"/>
  <c r="H37" i="1" l="1"/>
  <c r="C37" i="1" l="1"/>
  <c r="D37" i="1"/>
  <c r="G37" i="1"/>
  <c r="B37" i="1" l="1"/>
</calcChain>
</file>

<file path=xl/sharedStrings.xml><?xml version="1.0" encoding="utf-8"?>
<sst xmlns="http://schemas.openxmlformats.org/spreadsheetml/2006/main" count="484" uniqueCount="54">
  <si>
    <t>Rank/Grade</t>
  </si>
  <si>
    <t>GENERAL       -ADMIRAL</t>
  </si>
  <si>
    <t>LT GENERAL    -VICE ADMIRAL</t>
  </si>
  <si>
    <t>MAJ GENERAL   -REAR ADMIRAL(U)</t>
  </si>
  <si>
    <t>BRIG GENERAL  -REAR ADMIRAL(L)</t>
  </si>
  <si>
    <t>COLONEL       -CAPTAIN</t>
  </si>
  <si>
    <t>LIEUTENANT COL-COMMANDER</t>
  </si>
  <si>
    <t>MAJOR         -LT COMMANDER</t>
  </si>
  <si>
    <t>CAPTAIN       -LIEUTENANT</t>
  </si>
  <si>
    <t>Ist LIEUTENANT-LIEUTENANT(JG)</t>
  </si>
  <si>
    <t>2nd LIEUTENANT-ENSIGN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</si>
  <si>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</si>
  <si>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</si>
  <si>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</si>
  <si>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</si>
  <si>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</si>
  <si>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</si>
  <si>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</si>
  <si>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</si>
  <si>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</si>
  <si>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</si>
  <si>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</si>
  <si>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</si>
  <si>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</si>
  <si>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</si>
  <si>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</si>
  <si>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</si>
  <si>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GRAND TOTAL</t>
  </si>
  <si>
    <t>Department of Defense</t>
  </si>
  <si>
    <t>Selected Reserves by Rank/Grade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</si>
  <si>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</si>
  <si>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</si>
  <si>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</si>
  <si>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</si>
  <si>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</si>
  <si>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</si>
  <si>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Total DoD</t>
  </si>
  <si>
    <t>TOTAL</t>
  </si>
  <si>
    <t xml:space="preserve"> </t>
  </si>
  <si>
    <t>OFFICER UNKNOWN GRADE</t>
  </si>
  <si>
    <t>ENLISTED UNKNOWN GRADE</t>
  </si>
  <si>
    <t>Coast Guard Reserve</t>
  </si>
  <si>
    <t xml:space="preserve"> September 30, 2019</t>
  </si>
  <si>
    <t xml:space="preserve"> August 31, 2019</t>
  </si>
  <si>
    <t xml:space="preserve"> July 31, 2019</t>
  </si>
  <si>
    <t xml:space="preserve"> June 30, 2019</t>
  </si>
  <si>
    <t xml:space="preserve"> May 31, 2019</t>
  </si>
  <si>
    <t xml:space="preserve"> April 30, 2019</t>
  </si>
  <si>
    <t>Coast Guard Reserve *</t>
  </si>
  <si>
    <t xml:space="preserve"> March 31, 2019</t>
  </si>
  <si>
    <t xml:space="preserve"> February 28, 2019</t>
  </si>
  <si>
    <t xml:space="preserve"> January 31, 2019</t>
  </si>
  <si>
    <t xml:space="preserve"> December 31, 2018</t>
  </si>
  <si>
    <t xml:space="preserve"> November 30,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</si>
</sst>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1" fillId="0" borderId="0"/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/>
  </cellStyleXfs>
  <cellXfs count="65">
    <xf numFmtId="0" fontId="0" fillId="0" borderId="0" xfId="0"/>
    <xf numFmtId="0" fontId="1" fillId="0" borderId="0" xfId="0" applyFont="1"/>
    <xf numFmtId="3" fontId="0" fillId="0" borderId="1" xfId="0" applyNumberFormat="1" applyBorder="1"/>
    <xf numFmtId="3" fontId="0" fillId="0" borderId="12" xfId="0" applyNumberFormat="1" applyBorder="1"/>
    <xf numFmtId="3" fontId="0" fillId="0" borderId="18" xfId="0" applyNumberFormat="1" applyBorder="1"/>
    <xf numFmtId="3" fontId="0" fillId="0" borderId="16" xfId="0" applyNumberFormat="1" applyBorder="1"/>
    <xf numFmtId="3" fontId="0" fillId="0" borderId="13" xfId="0" applyNumberFormat="1" applyBorder="1"/>
    <xf numFmtId="3" fontId="0" fillId="0" borderId="15" xfId="0" applyNumberFormat="1" applyBorder="1"/>
    <xf numFmtId="3" fontId="0" fillId="0" borderId="14" xfId="0" applyNumberFormat="1" applyBorder="1"/>
    <xf numFmtId="3" fontId="0" fillId="0" borderId="17" xfId="0" applyNumberFormat="1" applyBorder="1"/>
    <xf numFmtId="0" fontId="27" fillId="0" borderId="20" xfId="0" applyFont="1" applyBorder="1"/>
    <xf numFmtId="3" fontId="0" fillId="0" borderId="0" xfId="0" applyNumberFormat="1"/>
    <xf numFmtId="0" fontId="0" fillId="0" borderId="0" xfId="0" applyAlignment="1">
      <alignment wrapText="1"/>
    </xf>
    <xf numFmtId="0" fontId="30" fillId="0" borderId="28" xfId="0" applyFont="1" applyBorder="1" applyAlignment="1">
      <alignment horizontal="center" wrapText="1"/>
    </xf>
    <xf numFmtId="0" fontId="30" fillId="0" borderId="27" xfId="0" applyFont="1" applyFill="1" applyBorder="1" applyAlignment="1">
      <alignment horizontal="center" wrapText="1"/>
    </xf>
    <xf numFmtId="0" fontId="30" fillId="0" borderId="36" xfId="0" applyFont="1" applyBorder="1" applyAlignment="1">
      <alignment vertical="center" wrapText="1"/>
    </xf>
    <xf numFmtId="0" fontId="30" fillId="0" borderId="37" xfId="0" applyFont="1" applyBorder="1" applyAlignment="1">
      <alignment horizontal="center" wrapText="1"/>
    </xf>
    <xf numFmtId="0" fontId="26" fillId="0" borderId="36" xfId="0" applyFont="1" applyBorder="1"/>
    <xf numFmtId="3" fontId="0" fillId="0" borderId="38" xfId="0" applyNumberFormat="1" applyFill="1" applyBorder="1"/>
    <xf numFmtId="0" fontId="27" fillId="0" borderId="36" xfId="0" applyFont="1" applyBorder="1"/>
    <xf numFmtId="3" fontId="0" fillId="0" borderId="39" xfId="0" applyNumberFormat="1" applyBorder="1"/>
    <xf numFmtId="0" fontId="27" fillId="0" borderId="40" xfId="0" applyFont="1" applyBorder="1"/>
    <xf numFmtId="3" fontId="0" fillId="0" borderId="38" xfId="0" applyNumberFormat="1" applyBorder="1"/>
    <xf numFmtId="0" fontId="30" fillId="0" borderId="28" xfId="0" applyFont="1" applyFill="1" applyBorder="1" applyAlignment="1">
      <alignment horizontal="center" wrapText="1"/>
    </xf>
    <xf numFmtId="3" fontId="0" fillId="0" borderId="24" xfId="0" applyNumberFormat="1" applyBorder="1"/>
    <xf numFmtId="3" fontId="0" fillId="0" borderId="11" xfId="0" applyNumberFormat="1" applyBorder="1"/>
    <xf numFmtId="3" fontId="0" fillId="0" borderId="22" xfId="0" applyNumberFormat="1" applyBorder="1"/>
    <xf numFmtId="3" fontId="0" fillId="0" borderId="23" xfId="0" applyNumberFormat="1" applyBorder="1"/>
    <xf numFmtId="0" fontId="30" fillId="0" borderId="44" xfId="0" applyFont="1" applyFill="1" applyBorder="1" applyAlignment="1">
      <alignment horizontal="center" wrapText="1"/>
    </xf>
    <xf numFmtId="3" fontId="1" fillId="2" borderId="25" xfId="0" applyNumberFormat="1" applyFont="1" applyFill="1" applyBorder="1"/>
    <xf numFmtId="0" fontId="30" fillId="2" borderId="42" xfId="0" applyFont="1" applyFill="1" applyBorder="1" applyAlignment="1">
      <alignment horizontal="center" wrapText="1"/>
    </xf>
    <xf numFmtId="3" fontId="1" fillId="2" borderId="45" xfId="0" applyNumberFormat="1" applyFont="1" applyFill="1" applyBorder="1"/>
    <xf numFmtId="3" fontId="1" fillId="2" borderId="46" xfId="0" applyNumberFormat="1" applyFont="1" applyFill="1" applyBorder="1"/>
    <xf numFmtId="3" fontId="1" fillId="2" borderId="19" xfId="0" applyNumberFormat="1" applyFont="1" applyFill="1" applyBorder="1"/>
    <xf numFmtId="3" fontId="1" fillId="2" borderId="26" xfId="0" applyNumberFormat="1" applyFont="1" applyFill="1" applyBorder="1"/>
    <xf numFmtId="3" fontId="1" fillId="2" borderId="41" xfId="0" applyNumberFormat="1" applyFont="1" applyFill="1" applyBorder="1"/>
    <xf numFmtId="3" fontId="1" fillId="34" borderId="21" xfId="0" applyNumberFormat="1" applyFont="1" applyFill="1" applyBorder="1" applyAlignment="1">
      <alignment vertical="center"/>
    </xf>
    <xf numFmtId="3" fontId="1" fillId="34" borderId="43" xfId="0" applyNumberFormat="1" applyFont="1" applyFill="1" applyBorder="1" applyAlignment="1">
      <alignment vertical="center"/>
    </xf>
    <xf numFmtId="0" fontId="0" fillId="0" borderId="47" xfId="0" applyBorder="1" applyAlignment="1">
      <alignment horizontal="right" wrapText="1"/>
    </xf>
    <xf numFmtId="3" fontId="0" fillId="0" borderId="47" xfId="0" applyNumberFormat="1" applyBorder="1" applyAlignment="1">
      <alignment horizontal="right" wrapText="1"/>
    </xf>
    <xf numFmtId="3" fontId="1" fillId="34" borderId="48" xfId="0" applyNumberFormat="1" applyFont="1" applyFill="1" applyBorder="1" applyAlignment="1">
      <alignment vertical="center"/>
    </xf>
    <xf numFmtId="3" fontId="1" fillId="34" borderId="49" xfId="0" applyNumberFormat="1" applyFont="1" applyFill="1" applyBorder="1" applyAlignment="1">
      <alignment vertical="center"/>
    </xf>
    <xf numFmtId="0" fontId="0" fillId="0" borderId="50" xfId="0" applyBorder="1" applyAlignment="1">
      <alignment horizontal="right" wrapText="1"/>
    </xf>
    <xf numFmtId="0" fontId="0" fillId="0" borderId="51" xfId="0" applyBorder="1" applyAlignment="1">
      <alignment horizontal="right" wrapText="1"/>
    </xf>
    <xf numFmtId="3" fontId="1" fillId="2" borderId="52" xfId="0" applyNumberFormat="1" applyFont="1" applyFill="1" applyBorder="1"/>
    <xf numFmtId="0" fontId="1" fillId="2" borderId="53" xfId="0" applyFont="1" applyFill="1" applyBorder="1" applyAlignment="1">
      <alignment horizontal="right" wrapText="1"/>
    </xf>
    <xf numFmtId="3" fontId="1" fillId="2" borderId="53" xfId="0" applyNumberFormat="1" applyFont="1" applyFill="1" applyBorder="1" applyAlignment="1">
      <alignment horizontal="right" wrapText="1"/>
    </xf>
    <xf numFmtId="3" fontId="1" fillId="2" borderId="54" xfId="0" applyNumberFormat="1" applyFont="1" applyFill="1" applyBorder="1" applyAlignment="1">
      <alignment horizontal="right" wrapText="1"/>
    </xf>
    <xf numFmtId="0" fontId="0" fillId="0" borderId="55" xfId="0" applyBorder="1" applyAlignment="1">
      <alignment horizontal="right" wrapText="1"/>
    </xf>
    <xf numFmtId="3" fontId="0" fillId="0" borderId="56" xfId="0" applyNumberFormat="1" applyBorder="1" applyAlignment="1">
      <alignment horizontal="right" wrapText="1"/>
    </xf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15" fontId="29" fillId="0" borderId="32" xfId="0" quotePrefix="1" applyNumberFormat="1" applyFont="1" applyBorder="1" applyAlignment="1">
      <alignment horizontal="center"/>
    </xf>
    <xf numFmtId="15" fontId="29" fillId="0" borderId="0" xfId="0" quotePrefix="1" applyNumberFormat="1" applyFont="1" applyBorder="1" applyAlignment="1">
      <alignment horizontal="center"/>
    </xf>
    <xf numFmtId="15" fontId="29" fillId="0" borderId="33" xfId="0" quotePrefix="1" applyNumberFormat="1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0" fillId="2" borderId="26" xfId="0" applyFont="1" applyFill="1" applyBorder="1" applyAlignment="1">
      <alignment horizontal="center"/>
    </xf>
    <xf numFmtId="0" fontId="0" fillId="2" borderId="35" xfId="0" applyFont="1" applyFill="1" applyBorder="1" applyAlignment="1">
      <alignment horizontal="center"/>
    </xf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Comma 2 2" xfId="51"/>
    <cellStyle name="Comma 2 3" xfId="53"/>
    <cellStyle name="Comma 3" xfId="45"/>
    <cellStyle name="Comma 3 2" xfId="56"/>
    <cellStyle name="Comma 4" xfId="55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7"/>
    <cellStyle name="Normal 5" xfId="48"/>
    <cellStyle name="Normal 6" xfId="50"/>
    <cellStyle name="Normal 7" xfId="52"/>
    <cellStyle name="Normal 8" xfId="54"/>
    <cellStyle name="Normal 9" xfId="57"/>
    <cellStyle name="Note" xfId="15" builtinId="10" customBuiltin="1"/>
    <cellStyle name="Output" xfId="10" builtinId="21" customBuiltin="1"/>
    <cellStyle name="Percent 2" xfId="46"/>
    <cellStyle name="Percent 3" xfId="49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53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41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3</v>
      </c>
      <c r="C8" s="38">
        <v>0</v>
      </c>
      <c r="D8" s="38">
        <v>0</v>
      </c>
      <c r="E8" s="38">
        <v>0</v>
      </c>
      <c r="F8" s="38">
        <v>2</v>
      </c>
      <c r="G8" s="38">
        <v>0</v>
      </c>
      <c r="H8" s="31">
        <v>5</v>
      </c>
      <c r="I8" s="3">
        <v>0</v>
      </c>
      <c r="J8" s="18">
        <v>5</v>
      </c>
    </row>
    <row r="9" spans="1:10" x14ac:dyDescent="0.35">
      <c r="A9" s="17" t="s">
        <v>3</v>
      </c>
      <c r="B9" s="38">
        <v>80</v>
      </c>
      <c r="C9" s="38">
        <v>34</v>
      </c>
      <c r="D9" s="38">
        <v>18</v>
      </c>
      <c r="E9" s="38">
        <v>5</v>
      </c>
      <c r="F9" s="38">
        <v>43</v>
      </c>
      <c r="G9" s="38">
        <v>23</v>
      </c>
      <c r="H9" s="31">
        <v>203</v>
      </c>
      <c r="I9" s="3">
        <v>1</v>
      </c>
      <c r="J9" s="18">
        <v>204</v>
      </c>
    </row>
    <row r="10" spans="1:10" x14ac:dyDescent="0.35">
      <c r="A10" s="17" t="s">
        <v>4</v>
      </c>
      <c r="B10" s="38">
        <v>166</v>
      </c>
      <c r="C10" s="38">
        <v>85</v>
      </c>
      <c r="D10" s="38">
        <v>38</v>
      </c>
      <c r="E10" s="38">
        <v>6</v>
      </c>
      <c r="F10" s="38">
        <v>135</v>
      </c>
      <c r="G10" s="38">
        <v>50</v>
      </c>
      <c r="H10" s="31">
        <v>480</v>
      </c>
      <c r="I10" s="3">
        <v>1</v>
      </c>
      <c r="J10" s="18">
        <v>481</v>
      </c>
    </row>
    <row r="11" spans="1:10" x14ac:dyDescent="0.35">
      <c r="A11" s="17" t="s">
        <v>5</v>
      </c>
      <c r="B11" s="39">
        <v>1324</v>
      </c>
      <c r="C11" s="39">
        <v>1881</v>
      </c>
      <c r="D11" s="39">
        <v>1206</v>
      </c>
      <c r="E11" s="38">
        <v>297</v>
      </c>
      <c r="F11" s="39">
        <v>1041</v>
      </c>
      <c r="G11" s="39">
        <v>1004</v>
      </c>
      <c r="H11" s="31">
        <v>6753</v>
      </c>
      <c r="I11" s="3">
        <v>37</v>
      </c>
      <c r="J11" s="18">
        <v>6790</v>
      </c>
    </row>
    <row r="12" spans="1:10" x14ac:dyDescent="0.35">
      <c r="A12" s="17" t="s">
        <v>6</v>
      </c>
      <c r="B12" s="39">
        <v>3538</v>
      </c>
      <c r="C12" s="39">
        <v>4882</v>
      </c>
      <c r="D12" s="39">
        <v>3245</v>
      </c>
      <c r="E12" s="38">
        <v>687</v>
      </c>
      <c r="F12" s="39">
        <v>4052</v>
      </c>
      <c r="G12" s="39">
        <v>4074</v>
      </c>
      <c r="H12" s="31">
        <v>20478</v>
      </c>
      <c r="I12" s="3">
        <v>150</v>
      </c>
      <c r="J12" s="18">
        <v>20628</v>
      </c>
    </row>
    <row r="13" spans="1:10" x14ac:dyDescent="0.35">
      <c r="A13" s="17" t="s">
        <v>7</v>
      </c>
      <c r="B13" s="39">
        <v>6907</v>
      </c>
      <c r="C13" s="39">
        <v>9272</v>
      </c>
      <c r="D13" s="39">
        <v>4922</v>
      </c>
      <c r="E13" s="39">
        <v>1667</v>
      </c>
      <c r="F13" s="39">
        <v>4297</v>
      </c>
      <c r="G13" s="39">
        <v>4807</v>
      </c>
      <c r="H13" s="31">
        <v>31872</v>
      </c>
      <c r="I13" s="3">
        <v>306</v>
      </c>
      <c r="J13" s="18">
        <v>32178</v>
      </c>
    </row>
    <row r="14" spans="1:10" x14ac:dyDescent="0.35">
      <c r="A14" s="17" t="s">
        <v>8</v>
      </c>
      <c r="B14" s="39">
        <v>10626</v>
      </c>
      <c r="C14" s="39">
        <v>10926</v>
      </c>
      <c r="D14" s="39">
        <v>3495</v>
      </c>
      <c r="E14" s="39">
        <v>1010</v>
      </c>
      <c r="F14" s="39">
        <v>3610</v>
      </c>
      <c r="G14" s="39">
        <v>2842</v>
      </c>
      <c r="H14" s="31">
        <v>32509</v>
      </c>
      <c r="I14" s="3">
        <v>299</v>
      </c>
      <c r="J14" s="18">
        <v>32808</v>
      </c>
    </row>
    <row r="15" spans="1:10" x14ac:dyDescent="0.35">
      <c r="A15" s="17" t="s">
        <v>9</v>
      </c>
      <c r="B15" s="39">
        <v>8268</v>
      </c>
      <c r="C15" s="39">
        <v>5415</v>
      </c>
      <c r="D15" s="38">
        <v>684</v>
      </c>
      <c r="E15" s="38">
        <v>334</v>
      </c>
      <c r="F15" s="39">
        <v>1174</v>
      </c>
      <c r="G15" s="38">
        <v>532</v>
      </c>
      <c r="H15" s="31">
        <v>16407</v>
      </c>
      <c r="I15" s="3">
        <v>64</v>
      </c>
      <c r="J15" s="18">
        <v>16471</v>
      </c>
    </row>
    <row r="16" spans="1:10" x14ac:dyDescent="0.35">
      <c r="A16" s="17" t="s">
        <v>10</v>
      </c>
      <c r="B16" s="39">
        <v>5525</v>
      </c>
      <c r="C16" s="39">
        <v>1948</v>
      </c>
      <c r="D16" s="38">
        <v>392</v>
      </c>
      <c r="E16" s="38">
        <v>262</v>
      </c>
      <c r="F16" s="39">
        <v>1054</v>
      </c>
      <c r="G16" s="38">
        <v>348</v>
      </c>
      <c r="H16" s="31">
        <v>9529</v>
      </c>
      <c r="I16" s="3">
        <v>80</v>
      </c>
      <c r="J16" s="18">
        <v>9609</v>
      </c>
    </row>
    <row r="17" spans="1:10" x14ac:dyDescent="0.35">
      <c r="A17" s="17" t="s">
        <v>11</v>
      </c>
      <c r="B17" s="38">
        <v>405</v>
      </c>
      <c r="C17" s="38">
        <v>114</v>
      </c>
      <c r="D17" s="38">
        <v>2</v>
      </c>
      <c r="E17" s="38">
        <v>19</v>
      </c>
      <c r="F17" s="38">
        <v>0</v>
      </c>
      <c r="G17" s="38">
        <v>0</v>
      </c>
      <c r="H17" s="31">
        <v>540</v>
      </c>
      <c r="I17" s="3">
        <v>0</v>
      </c>
      <c r="J17" s="18">
        <v>540</v>
      </c>
    </row>
    <row r="18" spans="1:10" x14ac:dyDescent="0.35">
      <c r="A18" s="17" t="s">
        <v>12</v>
      </c>
      <c r="B18" s="39">
        <v>1361</v>
      </c>
      <c r="C18" s="38">
        <v>561</v>
      </c>
      <c r="D18" s="38">
        <v>24</v>
      </c>
      <c r="E18" s="38">
        <v>51</v>
      </c>
      <c r="F18" s="38">
        <v>0</v>
      </c>
      <c r="G18" s="38">
        <v>0</v>
      </c>
      <c r="H18" s="31">
        <v>1997</v>
      </c>
      <c r="I18" s="3">
        <v>36</v>
      </c>
      <c r="J18" s="18">
        <v>2033</v>
      </c>
    </row>
    <row r="19" spans="1:10" x14ac:dyDescent="0.35">
      <c r="A19" s="17" t="s">
        <v>13</v>
      </c>
      <c r="B19" s="39">
        <v>2442</v>
      </c>
      <c r="C19" s="38">
        <v>1223</v>
      </c>
      <c r="D19" s="38">
        <v>31</v>
      </c>
      <c r="E19" s="38">
        <v>78</v>
      </c>
      <c r="F19" s="38">
        <v>0</v>
      </c>
      <c r="G19" s="38">
        <v>0</v>
      </c>
      <c r="H19" s="31">
        <v>3774</v>
      </c>
      <c r="I19" s="3">
        <v>35</v>
      </c>
      <c r="J19" s="18">
        <v>3809</v>
      </c>
    </row>
    <row r="20" spans="1:10" x14ac:dyDescent="0.35">
      <c r="A20" s="17" t="s">
        <v>14</v>
      </c>
      <c r="B20" s="39">
        <v>2997</v>
      </c>
      <c r="C20" s="39">
        <v>1191</v>
      </c>
      <c r="D20" s="38">
        <v>32</v>
      </c>
      <c r="E20" s="38">
        <v>80</v>
      </c>
      <c r="F20" s="38">
        <v>0</v>
      </c>
      <c r="G20" s="38">
        <v>0</v>
      </c>
      <c r="H20" s="31">
        <v>4300</v>
      </c>
      <c r="I20" s="3">
        <v>30</v>
      </c>
      <c r="J20" s="18">
        <v>4330</v>
      </c>
    </row>
    <row r="21" spans="1:10" x14ac:dyDescent="0.35">
      <c r="A21" s="17" t="s">
        <v>15</v>
      </c>
      <c r="B21" s="39">
        <v>1423</v>
      </c>
      <c r="C21" s="38">
        <v>467</v>
      </c>
      <c r="D21" s="38">
        <v>0</v>
      </c>
      <c r="E21" s="38">
        <v>18</v>
      </c>
      <c r="F21" s="38">
        <v>0</v>
      </c>
      <c r="G21" s="38">
        <v>0</v>
      </c>
      <c r="H21" s="31">
        <v>1908</v>
      </c>
      <c r="I21" s="3">
        <v>0</v>
      </c>
      <c r="J21" s="18">
        <v>1908</v>
      </c>
    </row>
    <row r="22" spans="1:10" x14ac:dyDescent="0.35">
      <c r="A22" s="17" t="s">
        <v>39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1">
        <v>0</v>
      </c>
      <c r="I22" s="3">
        <v>0</v>
      </c>
      <c r="J22" s="18">
        <v>0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45065</v>
      </c>
      <c r="C24" s="33">
        <f>SUM(C7:C22)</f>
        <v>37999</v>
      </c>
      <c r="D24" s="33">
        <f>SUM(D7:D22)</f>
        <v>14089</v>
      </c>
      <c r="E24" s="33">
        <f>SUM(E7:E22)</f>
        <v>4514</v>
      </c>
      <c r="F24" s="33">
        <f>SUM(F7:F22)</f>
        <v>15409</v>
      </c>
      <c r="G24" s="34">
        <f>SUM(G7:G22)</f>
        <v>13680</v>
      </c>
      <c r="H24" s="29">
        <f>SUM(H7:H22)</f>
        <v>130756</v>
      </c>
      <c r="I24" s="33">
        <f>SUM(I7:I22)</f>
        <v>1039</v>
      </c>
      <c r="J24" s="35">
        <f>SUM(J7:J22)</f>
        <v>131795</v>
      </c>
    </row>
    <row r="25" spans="1:10" x14ac:dyDescent="0.35">
      <c r="A25" s="17" t="s">
        <v>17</v>
      </c>
      <c r="B25" s="4">
        <v>1977</v>
      </c>
      <c r="C25" s="5">
        <v>1481</v>
      </c>
      <c r="D25" s="5">
        <v>333</v>
      </c>
      <c r="E25" s="5">
        <v>159</v>
      </c>
      <c r="F25" s="5">
        <v>2042</v>
      </c>
      <c r="G25" s="24">
        <v>958</v>
      </c>
      <c r="H25" s="31">
        <v>6950</v>
      </c>
      <c r="I25" s="4">
        <v>68</v>
      </c>
      <c r="J25" s="22">
        <v>7018</v>
      </c>
    </row>
    <row r="26" spans="1:10" x14ac:dyDescent="0.35">
      <c r="A26" s="17" t="s">
        <v>18</v>
      </c>
      <c r="B26" s="3">
        <v>7300</v>
      </c>
      <c r="C26" s="2">
        <v>5561</v>
      </c>
      <c r="D26" s="2">
        <v>993</v>
      </c>
      <c r="E26" s="2">
        <v>471</v>
      </c>
      <c r="F26" s="2">
        <v>4514</v>
      </c>
      <c r="G26" s="25">
        <v>2865</v>
      </c>
      <c r="H26" s="31">
        <v>21704</v>
      </c>
      <c r="I26" s="3">
        <v>122</v>
      </c>
      <c r="J26" s="22">
        <v>21826</v>
      </c>
    </row>
    <row r="27" spans="1:10" x14ac:dyDescent="0.35">
      <c r="A27" s="17" t="s">
        <v>19</v>
      </c>
      <c r="B27" s="3">
        <v>17873</v>
      </c>
      <c r="C27" s="2">
        <v>13368</v>
      </c>
      <c r="D27" s="2">
        <v>3703</v>
      </c>
      <c r="E27" s="2">
        <v>1118</v>
      </c>
      <c r="F27" s="2">
        <v>14959</v>
      </c>
      <c r="G27" s="25">
        <v>8170</v>
      </c>
      <c r="H27" s="31">
        <v>59191</v>
      </c>
      <c r="I27" s="3">
        <v>679</v>
      </c>
      <c r="J27" s="22">
        <v>59870</v>
      </c>
    </row>
    <row r="28" spans="1:10" x14ac:dyDescent="0.35">
      <c r="A28" s="17" t="s">
        <v>20</v>
      </c>
      <c r="B28" s="3">
        <v>33123</v>
      </c>
      <c r="C28" s="2">
        <v>18865</v>
      </c>
      <c r="D28" s="2">
        <v>10940</v>
      </c>
      <c r="E28" s="2">
        <v>1878</v>
      </c>
      <c r="F28" s="2">
        <v>19970</v>
      </c>
      <c r="G28" s="25">
        <v>12953</v>
      </c>
      <c r="H28" s="31">
        <v>97729</v>
      </c>
      <c r="I28" s="3">
        <v>1516</v>
      </c>
      <c r="J28" s="22">
        <v>99245</v>
      </c>
    </row>
    <row r="29" spans="1:10" x14ac:dyDescent="0.35">
      <c r="A29" s="17" t="s">
        <v>21</v>
      </c>
      <c r="B29" s="3">
        <v>59361</v>
      </c>
      <c r="C29" s="2">
        <v>31965</v>
      </c>
      <c r="D29" s="2">
        <v>14746</v>
      </c>
      <c r="E29" s="2">
        <v>4552</v>
      </c>
      <c r="F29" s="2">
        <v>21512</v>
      </c>
      <c r="G29" s="25">
        <v>12407</v>
      </c>
      <c r="H29" s="31">
        <v>144543</v>
      </c>
      <c r="I29" s="3">
        <v>1620</v>
      </c>
      <c r="J29" s="22">
        <v>146163</v>
      </c>
    </row>
    <row r="30" spans="1:10" x14ac:dyDescent="0.35">
      <c r="A30" s="17" t="s">
        <v>22</v>
      </c>
      <c r="B30" s="3">
        <v>99019</v>
      </c>
      <c r="C30" s="2">
        <v>52534</v>
      </c>
      <c r="D30" s="2">
        <v>7542</v>
      </c>
      <c r="E30" s="2">
        <v>6310</v>
      </c>
      <c r="F30" s="2">
        <v>14285</v>
      </c>
      <c r="G30" s="25">
        <v>11599</v>
      </c>
      <c r="H30" s="31">
        <v>191289</v>
      </c>
      <c r="I30" s="3">
        <v>930</v>
      </c>
      <c r="J30" s="22">
        <v>192219</v>
      </c>
    </row>
    <row r="31" spans="1:10" x14ac:dyDescent="0.35">
      <c r="A31" s="17" t="s">
        <v>23</v>
      </c>
      <c r="B31" s="3">
        <v>34446</v>
      </c>
      <c r="C31" s="2">
        <v>14890</v>
      </c>
      <c r="D31" s="2">
        <v>3743</v>
      </c>
      <c r="E31" s="2">
        <v>14450</v>
      </c>
      <c r="F31" s="2">
        <v>11835</v>
      </c>
      <c r="G31" s="25">
        <v>3839</v>
      </c>
      <c r="H31" s="31">
        <v>83203</v>
      </c>
      <c r="I31" s="3">
        <v>118</v>
      </c>
      <c r="J31" s="22">
        <v>83321</v>
      </c>
    </row>
    <row r="32" spans="1:10" x14ac:dyDescent="0.35">
      <c r="A32" s="17" t="s">
        <v>24</v>
      </c>
      <c r="B32" s="3">
        <v>18614</v>
      </c>
      <c r="C32" s="2">
        <v>6303</v>
      </c>
      <c r="D32" s="2">
        <v>1034</v>
      </c>
      <c r="E32" s="2">
        <v>3160</v>
      </c>
      <c r="F32" s="2">
        <v>820</v>
      </c>
      <c r="G32" s="25">
        <v>684</v>
      </c>
      <c r="H32" s="31">
        <v>30615</v>
      </c>
      <c r="I32" s="3">
        <v>0</v>
      </c>
      <c r="J32" s="22">
        <v>30615</v>
      </c>
    </row>
    <row r="33" spans="1:10" x14ac:dyDescent="0.35">
      <c r="A33" s="17" t="s">
        <v>25</v>
      </c>
      <c r="B33" s="2">
        <v>14151</v>
      </c>
      <c r="C33" s="2">
        <v>6351</v>
      </c>
      <c r="D33" s="2">
        <v>727</v>
      </c>
      <c r="E33" s="2">
        <v>1733</v>
      </c>
      <c r="F33" s="2">
        <v>2053</v>
      </c>
      <c r="G33" s="25">
        <v>1313</v>
      </c>
      <c r="H33" s="31">
        <v>26328</v>
      </c>
      <c r="I33" s="3">
        <v>0</v>
      </c>
      <c r="J33" s="22">
        <v>26328</v>
      </c>
    </row>
    <row r="34" spans="1:10" x14ac:dyDescent="0.35">
      <c r="A34" s="17" t="s">
        <v>40</v>
      </c>
      <c r="B34" s="38">
        <v>0</v>
      </c>
      <c r="C34" s="38">
        <v>0</v>
      </c>
      <c r="D34" s="38">
        <v>1</v>
      </c>
      <c r="E34" s="38">
        <v>0</v>
      </c>
      <c r="F34" s="38">
        <v>0</v>
      </c>
      <c r="G34" s="38">
        <v>1</v>
      </c>
      <c r="H34" s="31">
        <v>2</v>
      </c>
      <c r="I34" s="3">
        <v>0</v>
      </c>
      <c r="J34" s="18">
        <v>2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285864</v>
      </c>
      <c r="C36" s="33">
        <f>SUM(C25:C34)</f>
        <v>151318</v>
      </c>
      <c r="D36" s="33">
        <f>SUM(D25:D34)</f>
        <v>43762</v>
      </c>
      <c r="E36" s="33">
        <f>SUM(E25:E34)</f>
        <v>33831</v>
      </c>
      <c r="F36" s="33">
        <f>SUM(F25:F34)</f>
        <v>91990</v>
      </c>
      <c r="G36" s="34">
        <f>SUM(G25:G34)</f>
        <v>54789</v>
      </c>
      <c r="H36" s="29">
        <f>SUM(H25:H34)</f>
        <v>661554</v>
      </c>
      <c r="I36" s="33">
        <f>SUM(I25:I34)</f>
        <v>5053</v>
      </c>
      <c r="J36" s="35">
        <f>SUM(J25:J34)</f>
        <v>666607</v>
      </c>
    </row>
    <row r="37" spans="1:10" ht="15.5" thickTop="1" thickBot="1" x14ac:dyDescent="0.4">
      <c r="A37" s="10" t="s">
        <v>27</v>
      </c>
      <c r="B37" s="36">
        <f>SUM(B24,B36)</f>
        <v>330929</v>
      </c>
      <c r="C37" s="36">
        <f>SUM(C24,C36)</f>
        <v>189317</v>
      </c>
      <c r="D37" s="36">
        <f>SUM(D24,D36)</f>
        <v>57851</v>
      </c>
      <c r="E37" s="36">
        <f>SUM(E24,E36)</f>
        <v>38345</v>
      </c>
      <c r="F37" s="36">
        <f>SUM(F24,F36)</f>
        <v>107399</v>
      </c>
      <c r="G37" s="37">
        <f>SUM(G24,G36)</f>
        <v>68469</v>
      </c>
      <c r="H37" s="40">
        <f>SUM(H24,H36)</f>
        <v>792310</v>
      </c>
      <c r="I37" s="36">
        <f>SUM(I24,I36)</f>
        <v>6092</v>
      </c>
      <c r="J37" s="41">
        <f>SUM(J24,J36)</f>
        <v>798402</v>
      </c>
    </row>
    <row r="38" spans="1:10" ht="15" thickTop="1" x14ac:dyDescent="0.35">
      <c r="B38" s="11"/>
    </row>
    <row r="40" spans="1:10" x14ac:dyDescent="0.3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52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48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0</v>
      </c>
      <c r="F8" s="38">
        <v>2</v>
      </c>
      <c r="G8" s="38">
        <v>0</v>
      </c>
      <c r="H8" s="31">
        <v>4</v>
      </c>
      <c r="I8" s="4">
        <v>0</v>
      </c>
      <c r="J8" s="18">
        <v>4</v>
      </c>
    </row>
    <row r="9" spans="1:10" x14ac:dyDescent="0.35">
      <c r="A9" s="17" t="s">
        <v>3</v>
      </c>
      <c r="B9" s="38">
        <v>80</v>
      </c>
      <c r="C9" s="38">
        <v>35</v>
      </c>
      <c r="D9" s="38">
        <v>17</v>
      </c>
      <c r="E9" s="38">
        <v>5</v>
      </c>
      <c r="F9" s="38">
        <v>44</v>
      </c>
      <c r="G9" s="38">
        <v>28</v>
      </c>
      <c r="H9" s="31">
        <v>209</v>
      </c>
      <c r="I9" s="4">
        <v>1</v>
      </c>
      <c r="J9" s="18">
        <v>210</v>
      </c>
    </row>
    <row r="10" spans="1:10" x14ac:dyDescent="0.35">
      <c r="A10" s="17" t="s">
        <v>4</v>
      </c>
      <c r="B10" s="38">
        <v>168</v>
      </c>
      <c r="C10" s="38">
        <v>83</v>
      </c>
      <c r="D10" s="38">
        <v>35</v>
      </c>
      <c r="E10" s="38">
        <v>6</v>
      </c>
      <c r="F10" s="38">
        <v>133</v>
      </c>
      <c r="G10" s="38">
        <v>58</v>
      </c>
      <c r="H10" s="31">
        <v>483</v>
      </c>
      <c r="I10" s="4">
        <v>1</v>
      </c>
      <c r="J10" s="18">
        <v>484</v>
      </c>
    </row>
    <row r="11" spans="1:10" x14ac:dyDescent="0.35">
      <c r="A11" s="17" t="s">
        <v>5</v>
      </c>
      <c r="B11" s="39">
        <v>1354</v>
      </c>
      <c r="C11" s="39">
        <v>1882</v>
      </c>
      <c r="D11" s="39">
        <v>1228</v>
      </c>
      <c r="E11" s="38">
        <v>296</v>
      </c>
      <c r="F11" s="39">
        <v>1050</v>
      </c>
      <c r="G11" s="39">
        <v>979</v>
      </c>
      <c r="H11" s="31">
        <v>6789</v>
      </c>
      <c r="I11" s="4">
        <v>36</v>
      </c>
      <c r="J11" s="18">
        <v>6825</v>
      </c>
    </row>
    <row r="12" spans="1:10" x14ac:dyDescent="0.35">
      <c r="A12" s="17" t="s">
        <v>6</v>
      </c>
      <c r="B12" s="39">
        <v>3530</v>
      </c>
      <c r="C12" s="39">
        <v>4893</v>
      </c>
      <c r="D12" s="39">
        <v>3294</v>
      </c>
      <c r="E12" s="38">
        <v>686</v>
      </c>
      <c r="F12" s="39">
        <v>3999</v>
      </c>
      <c r="G12" s="39">
        <v>4082</v>
      </c>
      <c r="H12" s="31">
        <v>20484</v>
      </c>
      <c r="I12" s="4">
        <v>150</v>
      </c>
      <c r="J12" s="18">
        <v>20634</v>
      </c>
    </row>
    <row r="13" spans="1:10" x14ac:dyDescent="0.35">
      <c r="A13" s="17" t="s">
        <v>7</v>
      </c>
      <c r="B13" s="39">
        <v>6940</v>
      </c>
      <c r="C13" s="39">
        <v>9334</v>
      </c>
      <c r="D13" s="39">
        <v>4991</v>
      </c>
      <c r="E13" s="39">
        <v>1688</v>
      </c>
      <c r="F13" s="39">
        <v>4260</v>
      </c>
      <c r="G13" s="39">
        <v>4806</v>
      </c>
      <c r="H13" s="31">
        <v>32019</v>
      </c>
      <c r="I13" s="4">
        <v>305</v>
      </c>
      <c r="J13" s="18">
        <v>32324</v>
      </c>
    </row>
    <row r="14" spans="1:10" x14ac:dyDescent="0.35">
      <c r="A14" s="17" t="s">
        <v>8</v>
      </c>
      <c r="B14" s="39">
        <v>10630</v>
      </c>
      <c r="C14" s="39">
        <v>10997</v>
      </c>
      <c r="D14" s="39">
        <v>3606</v>
      </c>
      <c r="E14" s="39">
        <v>1008</v>
      </c>
      <c r="F14" s="39">
        <v>3710</v>
      </c>
      <c r="G14" s="39">
        <v>2880</v>
      </c>
      <c r="H14" s="31">
        <v>32831</v>
      </c>
      <c r="I14" s="4">
        <v>297</v>
      </c>
      <c r="J14" s="18">
        <v>33128</v>
      </c>
    </row>
    <row r="15" spans="1:10" x14ac:dyDescent="0.35">
      <c r="A15" s="17" t="s">
        <v>9</v>
      </c>
      <c r="B15" s="39">
        <v>8040</v>
      </c>
      <c r="C15" s="39">
        <v>5325</v>
      </c>
      <c r="D15" s="38">
        <v>549</v>
      </c>
      <c r="E15" s="38">
        <v>303</v>
      </c>
      <c r="F15" s="39">
        <v>1080</v>
      </c>
      <c r="G15" s="38">
        <v>505</v>
      </c>
      <c r="H15" s="31">
        <v>15802</v>
      </c>
      <c r="I15" s="4">
        <v>73</v>
      </c>
      <c r="J15" s="18">
        <v>15875</v>
      </c>
    </row>
    <row r="16" spans="1:10" x14ac:dyDescent="0.35">
      <c r="A16" s="17" t="s">
        <v>10</v>
      </c>
      <c r="B16" s="39">
        <v>5552</v>
      </c>
      <c r="C16" s="39">
        <v>2006</v>
      </c>
      <c r="D16" s="38">
        <v>415</v>
      </c>
      <c r="E16" s="38">
        <v>258</v>
      </c>
      <c r="F16" s="39">
        <v>1144</v>
      </c>
      <c r="G16" s="38">
        <v>352</v>
      </c>
      <c r="H16" s="31">
        <v>9727</v>
      </c>
      <c r="I16" s="4">
        <v>61</v>
      </c>
      <c r="J16" s="18">
        <v>9788</v>
      </c>
    </row>
    <row r="17" spans="1:10" x14ac:dyDescent="0.35">
      <c r="A17" s="17" t="s">
        <v>11</v>
      </c>
      <c r="B17" s="39">
        <v>403</v>
      </c>
      <c r="C17" s="38">
        <v>116</v>
      </c>
      <c r="D17" s="38">
        <v>3</v>
      </c>
      <c r="E17" s="38">
        <v>19</v>
      </c>
      <c r="F17" s="38">
        <v>0</v>
      </c>
      <c r="G17" s="38">
        <v>0</v>
      </c>
      <c r="H17" s="31">
        <v>541</v>
      </c>
      <c r="I17" s="4">
        <v>0</v>
      </c>
      <c r="J17" s="18">
        <v>1</v>
      </c>
    </row>
    <row r="18" spans="1:10" x14ac:dyDescent="0.35">
      <c r="A18" s="17" t="s">
        <v>12</v>
      </c>
      <c r="B18" s="39">
        <v>1366</v>
      </c>
      <c r="C18" s="38">
        <v>552</v>
      </c>
      <c r="D18" s="38">
        <v>28</v>
      </c>
      <c r="E18" s="38">
        <v>51</v>
      </c>
      <c r="F18" s="38">
        <v>0</v>
      </c>
      <c r="G18" s="38">
        <v>0</v>
      </c>
      <c r="H18" s="31">
        <v>1997</v>
      </c>
      <c r="I18" s="4">
        <v>0</v>
      </c>
      <c r="J18" s="18">
        <v>541</v>
      </c>
    </row>
    <row r="19" spans="1:10" x14ac:dyDescent="0.35">
      <c r="A19" s="17" t="s">
        <v>13</v>
      </c>
      <c r="B19" s="39">
        <v>2464</v>
      </c>
      <c r="C19" s="39">
        <v>1220</v>
      </c>
      <c r="D19" s="38">
        <v>31</v>
      </c>
      <c r="E19" s="38">
        <v>76</v>
      </c>
      <c r="F19" s="38">
        <v>0</v>
      </c>
      <c r="G19" s="38">
        <v>0</v>
      </c>
      <c r="H19" s="31">
        <v>3791</v>
      </c>
      <c r="I19" s="4">
        <v>35</v>
      </c>
      <c r="J19" s="18">
        <v>2032</v>
      </c>
    </row>
    <row r="20" spans="1:10" x14ac:dyDescent="0.35">
      <c r="A20" s="17" t="s">
        <v>14</v>
      </c>
      <c r="B20" s="39">
        <v>3061</v>
      </c>
      <c r="C20" s="38">
        <v>1198</v>
      </c>
      <c r="D20" s="38">
        <v>37</v>
      </c>
      <c r="E20" s="38">
        <v>79</v>
      </c>
      <c r="F20" s="38">
        <v>0</v>
      </c>
      <c r="G20" s="38">
        <v>0</v>
      </c>
      <c r="H20" s="31">
        <v>4375</v>
      </c>
      <c r="I20" s="4">
        <v>40</v>
      </c>
      <c r="J20" s="18">
        <v>3831</v>
      </c>
    </row>
    <row r="21" spans="1:10" x14ac:dyDescent="0.35">
      <c r="A21" s="17" t="s">
        <v>15</v>
      </c>
      <c r="B21" s="39">
        <v>1330</v>
      </c>
      <c r="C21" s="39">
        <v>460</v>
      </c>
      <c r="D21" s="39">
        <v>0</v>
      </c>
      <c r="E21" s="39">
        <v>18</v>
      </c>
      <c r="F21" s="39">
        <v>0</v>
      </c>
      <c r="G21" s="39">
        <v>0</v>
      </c>
      <c r="H21" s="31">
        <v>1808</v>
      </c>
      <c r="I21" s="4">
        <v>24</v>
      </c>
      <c r="J21" s="18">
        <v>4399</v>
      </c>
    </row>
    <row r="22" spans="1:10" x14ac:dyDescent="0.35">
      <c r="A22" s="17" t="s">
        <v>39</v>
      </c>
      <c r="B22" s="38">
        <v>1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1">
        <v>1</v>
      </c>
      <c r="I22" s="4">
        <v>0</v>
      </c>
      <c r="J22" s="18">
        <v>1808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44921</v>
      </c>
      <c r="C24" s="33">
        <f>SUM(C7:C22)</f>
        <v>38101</v>
      </c>
      <c r="D24" s="33">
        <f>SUM(D7:D22)</f>
        <v>14234</v>
      </c>
      <c r="E24" s="33">
        <f>SUM(E7:E22)</f>
        <v>4493</v>
      </c>
      <c r="F24" s="33">
        <f>SUM(F7:F22)</f>
        <v>15423</v>
      </c>
      <c r="G24" s="33">
        <f>SUM(G7:G22)</f>
        <v>13690</v>
      </c>
      <c r="H24" s="29">
        <f>SUM(H7:H22)</f>
        <v>130862</v>
      </c>
      <c r="I24" s="33">
        <f>SUM(I7:I22)</f>
        <v>1023</v>
      </c>
      <c r="J24" s="35">
        <f>SUM(J7:J22)</f>
        <v>131885</v>
      </c>
    </row>
    <row r="25" spans="1:10" x14ac:dyDescent="0.35">
      <c r="A25" s="17" t="s">
        <v>17</v>
      </c>
      <c r="B25" s="4">
        <v>2004</v>
      </c>
      <c r="C25" s="5">
        <v>1470</v>
      </c>
      <c r="D25" s="5">
        <v>337</v>
      </c>
      <c r="E25" s="5">
        <v>162</v>
      </c>
      <c r="F25" s="5">
        <v>2040</v>
      </c>
      <c r="G25" s="24">
        <v>959</v>
      </c>
      <c r="H25" s="31">
        <v>6972</v>
      </c>
      <c r="I25" s="4">
        <v>68</v>
      </c>
      <c r="J25" s="22">
        <v>7040</v>
      </c>
    </row>
    <row r="26" spans="1:10" x14ac:dyDescent="0.35">
      <c r="A26" s="17" t="s">
        <v>18</v>
      </c>
      <c r="B26" s="3">
        <v>7322</v>
      </c>
      <c r="C26" s="2">
        <v>5564</v>
      </c>
      <c r="D26" s="2">
        <v>996</v>
      </c>
      <c r="E26" s="2">
        <v>475</v>
      </c>
      <c r="F26" s="2">
        <v>4501</v>
      </c>
      <c r="G26" s="25">
        <v>2870</v>
      </c>
      <c r="H26" s="31">
        <v>21728</v>
      </c>
      <c r="I26" s="3">
        <v>123</v>
      </c>
      <c r="J26" s="22">
        <v>21851</v>
      </c>
    </row>
    <row r="27" spans="1:10" x14ac:dyDescent="0.35">
      <c r="A27" s="17" t="s">
        <v>19</v>
      </c>
      <c r="B27" s="3">
        <v>17796</v>
      </c>
      <c r="C27" s="2">
        <v>13258</v>
      </c>
      <c r="D27" s="2">
        <v>3709</v>
      </c>
      <c r="E27" s="2">
        <v>1119</v>
      </c>
      <c r="F27" s="2">
        <v>14894</v>
      </c>
      <c r="G27" s="25">
        <v>8160</v>
      </c>
      <c r="H27" s="31">
        <v>58936</v>
      </c>
      <c r="I27" s="3">
        <v>679</v>
      </c>
      <c r="J27" s="22">
        <v>59615</v>
      </c>
    </row>
    <row r="28" spans="1:10" x14ac:dyDescent="0.35">
      <c r="A28" s="17" t="s">
        <v>20</v>
      </c>
      <c r="B28" s="3">
        <v>32942</v>
      </c>
      <c r="C28" s="2">
        <v>18838</v>
      </c>
      <c r="D28" s="2">
        <v>11090</v>
      </c>
      <c r="E28" s="2">
        <v>1871</v>
      </c>
      <c r="F28" s="2">
        <v>20022</v>
      </c>
      <c r="G28" s="25">
        <v>12984</v>
      </c>
      <c r="H28" s="31">
        <v>97747</v>
      </c>
      <c r="I28" s="3">
        <v>1509</v>
      </c>
      <c r="J28" s="22">
        <v>99256</v>
      </c>
    </row>
    <row r="29" spans="1:10" x14ac:dyDescent="0.35">
      <c r="A29" s="17" t="s">
        <v>21</v>
      </c>
      <c r="B29" s="3">
        <v>59310</v>
      </c>
      <c r="C29" s="2">
        <v>32318</v>
      </c>
      <c r="D29" s="2">
        <v>14807</v>
      </c>
      <c r="E29" s="2">
        <v>4491</v>
      </c>
      <c r="F29" s="2">
        <v>21399</v>
      </c>
      <c r="G29" s="25">
        <v>12374</v>
      </c>
      <c r="H29" s="31">
        <v>144699</v>
      </c>
      <c r="I29" s="3">
        <v>1619</v>
      </c>
      <c r="J29" s="22">
        <v>146318</v>
      </c>
    </row>
    <row r="30" spans="1:10" x14ac:dyDescent="0.35">
      <c r="A30" s="17" t="s">
        <v>22</v>
      </c>
      <c r="B30" s="3">
        <v>98805</v>
      </c>
      <c r="C30" s="2">
        <v>52526</v>
      </c>
      <c r="D30" s="2">
        <v>7589</v>
      </c>
      <c r="E30" s="2">
        <v>6275</v>
      </c>
      <c r="F30" s="2">
        <v>14141</v>
      </c>
      <c r="G30" s="25">
        <v>11610</v>
      </c>
      <c r="H30" s="31">
        <v>190946</v>
      </c>
      <c r="I30" s="3">
        <v>939</v>
      </c>
      <c r="J30" s="22">
        <v>191885</v>
      </c>
    </row>
    <row r="31" spans="1:10" x14ac:dyDescent="0.35">
      <c r="A31" s="17" t="s">
        <v>23</v>
      </c>
      <c r="B31" s="3">
        <v>34518</v>
      </c>
      <c r="C31" s="2">
        <v>14672</v>
      </c>
      <c r="D31" s="2">
        <v>3631</v>
      </c>
      <c r="E31" s="2">
        <v>14638</v>
      </c>
      <c r="F31" s="2">
        <v>11791</v>
      </c>
      <c r="G31" s="25">
        <v>3849</v>
      </c>
      <c r="H31" s="31">
        <v>83099</v>
      </c>
      <c r="I31" s="3">
        <v>110</v>
      </c>
      <c r="J31" s="22">
        <v>83209</v>
      </c>
    </row>
    <row r="32" spans="1:10" x14ac:dyDescent="0.35">
      <c r="A32" s="17" t="s">
        <v>24</v>
      </c>
      <c r="B32" s="3">
        <v>18462</v>
      </c>
      <c r="C32" s="2">
        <v>6812</v>
      </c>
      <c r="D32" s="2">
        <v>968</v>
      </c>
      <c r="E32" s="2">
        <v>3281</v>
      </c>
      <c r="F32" s="2">
        <v>853</v>
      </c>
      <c r="G32" s="25">
        <v>695</v>
      </c>
      <c r="H32" s="31">
        <v>31071</v>
      </c>
      <c r="I32" s="3">
        <v>0</v>
      </c>
      <c r="J32" s="22">
        <v>31071</v>
      </c>
    </row>
    <row r="33" spans="1:10" x14ac:dyDescent="0.35">
      <c r="A33" s="17" t="s">
        <v>25</v>
      </c>
      <c r="B33" s="2">
        <v>14917</v>
      </c>
      <c r="C33" s="2">
        <v>6169</v>
      </c>
      <c r="D33" s="2">
        <v>718</v>
      </c>
      <c r="E33" s="2">
        <v>1608</v>
      </c>
      <c r="F33" s="2">
        <v>2114</v>
      </c>
      <c r="G33" s="25">
        <v>1350</v>
      </c>
      <c r="H33" s="31">
        <v>26876</v>
      </c>
      <c r="I33" s="3">
        <v>0</v>
      </c>
      <c r="J33" s="22">
        <v>26876</v>
      </c>
    </row>
    <row r="34" spans="1:10" x14ac:dyDescent="0.35">
      <c r="A34" s="17" t="s">
        <v>40</v>
      </c>
      <c r="B34" s="38">
        <v>0</v>
      </c>
      <c r="C34" s="38">
        <v>0</v>
      </c>
      <c r="D34" s="38">
        <v>1</v>
      </c>
      <c r="E34" s="38">
        <v>0</v>
      </c>
      <c r="F34" s="38">
        <v>0</v>
      </c>
      <c r="G34" s="38">
        <v>0</v>
      </c>
      <c r="H34" s="31">
        <v>1</v>
      </c>
      <c r="I34" s="3">
        <v>0</v>
      </c>
      <c r="J34" s="18">
        <v>1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286076</v>
      </c>
      <c r="C36" s="33">
        <f>SUM(C25:C34)</f>
        <v>151627</v>
      </c>
      <c r="D36" s="33">
        <f>SUM(D25:D34)</f>
        <v>43846</v>
      </c>
      <c r="E36" s="33">
        <f>SUM(E25:E34)</f>
        <v>33920</v>
      </c>
      <c r="F36" s="33">
        <f>SUM(F25:F34)</f>
        <v>91755</v>
      </c>
      <c r="G36" s="34">
        <f>SUM(G25:G34)</f>
        <v>54851</v>
      </c>
      <c r="H36" s="29">
        <f>SUM(H25:H34)</f>
        <v>662075</v>
      </c>
      <c r="I36" s="33">
        <f>SUM(I25:I34)</f>
        <v>5047</v>
      </c>
      <c r="J36" s="35">
        <f>SUM(J25:J34)</f>
        <v>667122</v>
      </c>
    </row>
    <row r="37" spans="1:10" ht="15.5" thickTop="1" thickBot="1" x14ac:dyDescent="0.4">
      <c r="A37" s="10" t="s">
        <v>27</v>
      </c>
      <c r="B37" s="36">
        <f>SUM(B24,B36)</f>
        <v>330997</v>
      </c>
      <c r="C37" s="36">
        <f>SUM(C24,C36)</f>
        <v>189728</v>
      </c>
      <c r="D37" s="36">
        <f>SUM(D24,D36)</f>
        <v>58080</v>
      </c>
      <c r="E37" s="36">
        <f>SUM(E24,E36)</f>
        <v>38413</v>
      </c>
      <c r="F37" s="36">
        <f>SUM(F24,F36)</f>
        <v>107178</v>
      </c>
      <c r="G37" s="37">
        <f>SUM(G24,G36)</f>
        <v>68541</v>
      </c>
      <c r="H37" s="40">
        <f>SUM(H24,H36)</f>
        <v>792937</v>
      </c>
      <c r="I37" s="36">
        <f>SUM(I24,I36)</f>
        <v>6070</v>
      </c>
      <c r="J37" s="41">
        <f>SUM(J24,J36)</f>
        <v>799007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51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48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0</v>
      </c>
      <c r="F8" s="38">
        <v>3</v>
      </c>
      <c r="G8" s="38">
        <v>0</v>
      </c>
      <c r="H8" s="31">
        <v>5</v>
      </c>
      <c r="I8" s="4">
        <v>0</v>
      </c>
      <c r="J8" s="18">
        <v>5</v>
      </c>
    </row>
    <row r="9" spans="1:10" x14ac:dyDescent="0.35">
      <c r="A9" s="17" t="s">
        <v>3</v>
      </c>
      <c r="B9" s="38">
        <v>80</v>
      </c>
      <c r="C9" s="38">
        <v>36</v>
      </c>
      <c r="D9" s="38">
        <v>17</v>
      </c>
      <c r="E9" s="38">
        <v>6</v>
      </c>
      <c r="F9" s="38">
        <v>43</v>
      </c>
      <c r="G9" s="38">
        <v>27</v>
      </c>
      <c r="H9" s="31">
        <v>209</v>
      </c>
      <c r="I9" s="4">
        <v>1</v>
      </c>
      <c r="J9" s="18">
        <v>210</v>
      </c>
    </row>
    <row r="10" spans="1:10" x14ac:dyDescent="0.35">
      <c r="A10" s="17" t="s">
        <v>4</v>
      </c>
      <c r="B10" s="38">
        <v>171</v>
      </c>
      <c r="C10" s="38">
        <v>81</v>
      </c>
      <c r="D10" s="38">
        <v>35</v>
      </c>
      <c r="E10" s="38">
        <v>5</v>
      </c>
      <c r="F10" s="38">
        <v>132</v>
      </c>
      <c r="G10" s="38">
        <v>55</v>
      </c>
      <c r="H10" s="31">
        <v>479</v>
      </c>
      <c r="I10" s="4">
        <v>1</v>
      </c>
      <c r="J10" s="18">
        <v>480</v>
      </c>
    </row>
    <row r="11" spans="1:10" x14ac:dyDescent="0.35">
      <c r="A11" s="17" t="s">
        <v>5</v>
      </c>
      <c r="B11" s="39">
        <v>1328</v>
      </c>
      <c r="C11" s="39">
        <v>1883</v>
      </c>
      <c r="D11" s="39">
        <v>1197</v>
      </c>
      <c r="E11" s="38">
        <v>285</v>
      </c>
      <c r="F11" s="39">
        <v>1045</v>
      </c>
      <c r="G11" s="39">
        <v>974</v>
      </c>
      <c r="H11" s="31">
        <v>6712</v>
      </c>
      <c r="I11" s="4">
        <v>36</v>
      </c>
      <c r="J11" s="18">
        <v>6748</v>
      </c>
    </row>
    <row r="12" spans="1:10" x14ac:dyDescent="0.35">
      <c r="A12" s="17" t="s">
        <v>6</v>
      </c>
      <c r="B12" s="39">
        <v>3539</v>
      </c>
      <c r="C12" s="39">
        <v>4883</v>
      </c>
      <c r="D12" s="39">
        <v>3221</v>
      </c>
      <c r="E12" s="38">
        <v>677</v>
      </c>
      <c r="F12" s="39">
        <v>4022</v>
      </c>
      <c r="G12" s="39">
        <v>4080</v>
      </c>
      <c r="H12" s="31">
        <v>20422</v>
      </c>
      <c r="I12" s="4">
        <v>148</v>
      </c>
      <c r="J12" s="18">
        <v>20570</v>
      </c>
    </row>
    <row r="13" spans="1:10" x14ac:dyDescent="0.35">
      <c r="A13" s="17" t="s">
        <v>7</v>
      </c>
      <c r="B13" s="39">
        <v>6958</v>
      </c>
      <c r="C13" s="39">
        <v>9367</v>
      </c>
      <c r="D13" s="39">
        <v>5016</v>
      </c>
      <c r="E13" s="39">
        <v>1677</v>
      </c>
      <c r="F13" s="39">
        <v>4216</v>
      </c>
      <c r="G13" s="39">
        <v>4793</v>
      </c>
      <c r="H13" s="31">
        <v>32027</v>
      </c>
      <c r="I13" s="4">
        <v>304</v>
      </c>
      <c r="J13" s="18">
        <v>32331</v>
      </c>
    </row>
    <row r="14" spans="1:10" x14ac:dyDescent="0.35">
      <c r="A14" s="17" t="s">
        <v>8</v>
      </c>
      <c r="B14" s="39">
        <v>10639</v>
      </c>
      <c r="C14" s="39">
        <v>11032</v>
      </c>
      <c r="D14" s="39">
        <v>3610</v>
      </c>
      <c r="E14" s="39">
        <v>983</v>
      </c>
      <c r="F14" s="39">
        <v>3677</v>
      </c>
      <c r="G14" s="39">
        <v>2896</v>
      </c>
      <c r="H14" s="31">
        <v>32837</v>
      </c>
      <c r="I14" s="4">
        <v>303</v>
      </c>
      <c r="J14" s="18">
        <v>33140</v>
      </c>
    </row>
    <row r="15" spans="1:10" x14ac:dyDescent="0.35">
      <c r="A15" s="17" t="s">
        <v>9</v>
      </c>
      <c r="B15" s="39">
        <v>8146</v>
      </c>
      <c r="C15" s="39">
        <v>5316</v>
      </c>
      <c r="D15" s="38">
        <v>547</v>
      </c>
      <c r="E15" s="38">
        <v>299</v>
      </c>
      <c r="F15" s="39">
        <v>1084</v>
      </c>
      <c r="G15" s="38">
        <v>502</v>
      </c>
      <c r="H15" s="31">
        <v>15894</v>
      </c>
      <c r="I15" s="4">
        <v>92</v>
      </c>
      <c r="J15" s="18">
        <v>15986</v>
      </c>
    </row>
    <row r="16" spans="1:10" x14ac:dyDescent="0.35">
      <c r="A16" s="17" t="s">
        <v>10</v>
      </c>
      <c r="B16" s="39">
        <v>5380</v>
      </c>
      <c r="C16" s="39">
        <v>1959</v>
      </c>
      <c r="D16" s="38">
        <v>448</v>
      </c>
      <c r="E16" s="38">
        <v>272</v>
      </c>
      <c r="F16" s="39">
        <v>1175</v>
      </c>
      <c r="G16" s="38">
        <v>361</v>
      </c>
      <c r="H16" s="31">
        <v>9595</v>
      </c>
      <c r="I16" s="4">
        <v>36</v>
      </c>
      <c r="J16" s="18">
        <v>9631</v>
      </c>
    </row>
    <row r="17" spans="1:10" x14ac:dyDescent="0.35">
      <c r="A17" s="17" t="s">
        <v>11</v>
      </c>
      <c r="B17" s="39">
        <v>394</v>
      </c>
      <c r="C17" s="38">
        <v>117</v>
      </c>
      <c r="D17" s="38">
        <v>2</v>
      </c>
      <c r="E17" s="38">
        <v>18</v>
      </c>
      <c r="F17" s="38">
        <v>0</v>
      </c>
      <c r="G17" s="38">
        <v>0</v>
      </c>
      <c r="H17" s="31">
        <v>531</v>
      </c>
      <c r="I17" s="4">
        <v>0</v>
      </c>
      <c r="J17" s="18">
        <v>531</v>
      </c>
    </row>
    <row r="18" spans="1:10" x14ac:dyDescent="0.35">
      <c r="A18" s="17" t="s">
        <v>12</v>
      </c>
      <c r="B18" s="39">
        <v>1358</v>
      </c>
      <c r="C18" s="38">
        <v>553</v>
      </c>
      <c r="D18" s="38">
        <v>28</v>
      </c>
      <c r="E18" s="38">
        <v>46</v>
      </c>
      <c r="F18" s="38">
        <v>0</v>
      </c>
      <c r="G18" s="38">
        <v>0</v>
      </c>
      <c r="H18" s="31">
        <v>1985</v>
      </c>
      <c r="I18" s="4">
        <v>37</v>
      </c>
      <c r="J18" s="18">
        <v>2022</v>
      </c>
    </row>
    <row r="19" spans="1:10" x14ac:dyDescent="0.35">
      <c r="A19" s="17" t="s">
        <v>13</v>
      </c>
      <c r="B19" s="39">
        <v>2451</v>
      </c>
      <c r="C19" s="39">
        <v>1226</v>
      </c>
      <c r="D19" s="38">
        <v>29</v>
      </c>
      <c r="E19" s="38">
        <v>72</v>
      </c>
      <c r="F19" s="38">
        <v>0</v>
      </c>
      <c r="G19" s="38">
        <v>0</v>
      </c>
      <c r="H19" s="31">
        <v>3778</v>
      </c>
      <c r="I19" s="4">
        <v>39</v>
      </c>
      <c r="J19" s="18">
        <v>3817</v>
      </c>
    </row>
    <row r="20" spans="1:10" x14ac:dyDescent="0.35">
      <c r="A20" s="17" t="s">
        <v>14</v>
      </c>
      <c r="B20" s="39">
        <v>3168</v>
      </c>
      <c r="C20" s="38">
        <v>1190</v>
      </c>
      <c r="D20" s="38">
        <v>38</v>
      </c>
      <c r="E20" s="38">
        <v>77</v>
      </c>
      <c r="F20" s="38">
        <v>0</v>
      </c>
      <c r="G20" s="38">
        <v>0</v>
      </c>
      <c r="H20" s="31">
        <v>4473</v>
      </c>
      <c r="I20" s="4">
        <v>23</v>
      </c>
      <c r="J20" s="18">
        <v>4496</v>
      </c>
    </row>
    <row r="21" spans="1:10" x14ac:dyDescent="0.35">
      <c r="A21" s="17" t="s">
        <v>15</v>
      </c>
      <c r="B21" s="39">
        <v>1226</v>
      </c>
      <c r="C21" s="39">
        <v>448</v>
      </c>
      <c r="D21" s="39">
        <v>0</v>
      </c>
      <c r="E21" s="39">
        <v>18</v>
      </c>
      <c r="F21" s="39">
        <v>0</v>
      </c>
      <c r="G21" s="39">
        <v>0</v>
      </c>
      <c r="H21" s="31">
        <v>1692</v>
      </c>
      <c r="I21" s="4">
        <v>0</v>
      </c>
      <c r="J21" s="18">
        <v>1692</v>
      </c>
    </row>
    <row r="22" spans="1:10" x14ac:dyDescent="0.35">
      <c r="A22" s="17" t="s">
        <v>39</v>
      </c>
      <c r="B22" s="38">
        <v>1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1">
        <v>1</v>
      </c>
      <c r="I22" s="4">
        <v>0</v>
      </c>
      <c r="J22" s="18">
        <v>1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44841</v>
      </c>
      <c r="C24" s="33">
        <f>SUM(C7:C22)</f>
        <v>38091</v>
      </c>
      <c r="D24" s="33">
        <f>SUM(D7:D22)</f>
        <v>14188</v>
      </c>
      <c r="E24" s="33">
        <f>SUM(E7:E22)</f>
        <v>4435</v>
      </c>
      <c r="F24" s="33">
        <f>SUM(F7:F22)</f>
        <v>15398</v>
      </c>
      <c r="G24" s="33">
        <f>SUM(G7:G22)</f>
        <v>13688</v>
      </c>
      <c r="H24" s="29">
        <f>SUM(H7:H22)</f>
        <v>130641</v>
      </c>
      <c r="I24" s="33">
        <f>SUM(I7:I22)</f>
        <v>1020</v>
      </c>
      <c r="J24" s="35">
        <f>SUM(J7:J22)</f>
        <v>131661</v>
      </c>
    </row>
    <row r="25" spans="1:10" x14ac:dyDescent="0.35">
      <c r="A25" s="17" t="s">
        <v>17</v>
      </c>
      <c r="B25" s="4">
        <v>2020</v>
      </c>
      <c r="C25" s="5">
        <v>1462</v>
      </c>
      <c r="D25" s="5">
        <v>340</v>
      </c>
      <c r="E25" s="5">
        <v>162</v>
      </c>
      <c r="F25" s="5">
        <v>2054</v>
      </c>
      <c r="G25" s="24">
        <v>965</v>
      </c>
      <c r="H25" s="31">
        <v>7003</v>
      </c>
      <c r="I25" s="4">
        <v>68</v>
      </c>
      <c r="J25" s="22">
        <v>7071</v>
      </c>
    </row>
    <row r="26" spans="1:10" x14ac:dyDescent="0.35">
      <c r="A26" s="17" t="s">
        <v>18</v>
      </c>
      <c r="B26" s="3">
        <v>7300</v>
      </c>
      <c r="C26" s="2">
        <v>5522</v>
      </c>
      <c r="D26" s="2">
        <v>1029</v>
      </c>
      <c r="E26" s="2">
        <v>483</v>
      </c>
      <c r="F26" s="2">
        <v>4515</v>
      </c>
      <c r="G26" s="25">
        <v>2861</v>
      </c>
      <c r="H26" s="31">
        <v>21710</v>
      </c>
      <c r="I26" s="3">
        <v>132</v>
      </c>
      <c r="J26" s="22">
        <v>21842</v>
      </c>
    </row>
    <row r="27" spans="1:10" x14ac:dyDescent="0.35">
      <c r="A27" s="17" t="s">
        <v>19</v>
      </c>
      <c r="B27" s="3">
        <v>17730</v>
      </c>
      <c r="C27" s="2">
        <v>13446</v>
      </c>
      <c r="D27" s="2">
        <v>3712</v>
      </c>
      <c r="E27" s="2">
        <v>1123</v>
      </c>
      <c r="F27" s="2">
        <v>14875</v>
      </c>
      <c r="G27" s="25">
        <v>8139</v>
      </c>
      <c r="H27" s="31">
        <v>59025</v>
      </c>
      <c r="I27" s="3">
        <v>716</v>
      </c>
      <c r="J27" s="22">
        <v>59741</v>
      </c>
    </row>
    <row r="28" spans="1:10" x14ac:dyDescent="0.35">
      <c r="A28" s="17" t="s">
        <v>20</v>
      </c>
      <c r="B28" s="3">
        <v>32741</v>
      </c>
      <c r="C28" s="2">
        <v>18820</v>
      </c>
      <c r="D28" s="2">
        <v>11194</v>
      </c>
      <c r="E28" s="2">
        <v>1841</v>
      </c>
      <c r="F28" s="2">
        <v>20045</v>
      </c>
      <c r="G28" s="25">
        <v>13043</v>
      </c>
      <c r="H28" s="31">
        <v>97684</v>
      </c>
      <c r="I28" s="3">
        <v>1531</v>
      </c>
      <c r="J28" s="22">
        <v>99215</v>
      </c>
    </row>
    <row r="29" spans="1:10" x14ac:dyDescent="0.35">
      <c r="A29" s="17" t="s">
        <v>21</v>
      </c>
      <c r="B29" s="3">
        <v>59258</v>
      </c>
      <c r="C29" s="2">
        <v>31832</v>
      </c>
      <c r="D29" s="2">
        <v>14927</v>
      </c>
      <c r="E29" s="2">
        <v>4690</v>
      </c>
      <c r="F29" s="2">
        <v>21361</v>
      </c>
      <c r="G29" s="25">
        <v>12340</v>
      </c>
      <c r="H29" s="31">
        <v>144408</v>
      </c>
      <c r="I29" s="3">
        <v>1580</v>
      </c>
      <c r="J29" s="22">
        <v>145988</v>
      </c>
    </row>
    <row r="30" spans="1:10" x14ac:dyDescent="0.35">
      <c r="A30" s="17" t="s">
        <v>22</v>
      </c>
      <c r="B30" s="3">
        <v>98299</v>
      </c>
      <c r="C30" s="2">
        <v>52745</v>
      </c>
      <c r="D30" s="2">
        <v>7559</v>
      </c>
      <c r="E30" s="2">
        <v>6363</v>
      </c>
      <c r="F30" s="2">
        <v>14027</v>
      </c>
      <c r="G30" s="25">
        <v>11543</v>
      </c>
      <c r="H30" s="31">
        <v>190536</v>
      </c>
      <c r="I30" s="3">
        <v>894</v>
      </c>
      <c r="J30" s="22">
        <v>191430</v>
      </c>
    </row>
    <row r="31" spans="1:10" x14ac:dyDescent="0.35">
      <c r="A31" s="17" t="s">
        <v>23</v>
      </c>
      <c r="B31" s="3">
        <v>34722</v>
      </c>
      <c r="C31" s="2">
        <v>14582</v>
      </c>
      <c r="D31" s="2">
        <v>3544</v>
      </c>
      <c r="E31" s="2">
        <v>14184</v>
      </c>
      <c r="F31" s="2">
        <v>11685</v>
      </c>
      <c r="G31" s="25">
        <v>3918</v>
      </c>
      <c r="H31" s="31">
        <v>82635</v>
      </c>
      <c r="I31" s="3">
        <v>122</v>
      </c>
      <c r="J31" s="22">
        <v>82757</v>
      </c>
    </row>
    <row r="32" spans="1:10" x14ac:dyDescent="0.35">
      <c r="A32" s="17" t="s">
        <v>24</v>
      </c>
      <c r="B32" s="3">
        <v>18628</v>
      </c>
      <c r="C32" s="2">
        <v>7129</v>
      </c>
      <c r="D32" s="2">
        <v>1004</v>
      </c>
      <c r="E32" s="2">
        <v>3632</v>
      </c>
      <c r="F32" s="2">
        <v>921</v>
      </c>
      <c r="G32" s="25">
        <v>706</v>
      </c>
      <c r="H32" s="31">
        <v>32020</v>
      </c>
      <c r="I32" s="3">
        <v>0</v>
      </c>
      <c r="J32" s="22">
        <v>32020</v>
      </c>
    </row>
    <row r="33" spans="1:10" x14ac:dyDescent="0.35">
      <c r="A33" s="17" t="s">
        <v>25</v>
      </c>
      <c r="B33" s="2">
        <v>15453</v>
      </c>
      <c r="C33" s="2">
        <v>6192</v>
      </c>
      <c r="D33" s="2">
        <v>770</v>
      </c>
      <c r="E33" s="2">
        <v>1411</v>
      </c>
      <c r="F33" s="2">
        <v>2193</v>
      </c>
      <c r="G33" s="25">
        <v>1377</v>
      </c>
      <c r="H33" s="31">
        <v>27396</v>
      </c>
      <c r="I33" s="3">
        <v>0</v>
      </c>
      <c r="J33" s="22">
        <v>27396</v>
      </c>
    </row>
    <row r="34" spans="1:10" x14ac:dyDescent="0.35">
      <c r="A34" s="17" t="s">
        <v>40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1">
        <v>0</v>
      </c>
      <c r="I34" s="3">
        <v>0</v>
      </c>
      <c r="J34" s="18">
        <v>0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286151</v>
      </c>
      <c r="C36" s="33">
        <f>SUM(C25:C34)</f>
        <v>151730</v>
      </c>
      <c r="D36" s="33">
        <f>SUM(D25:D34)</f>
        <v>44079</v>
      </c>
      <c r="E36" s="33">
        <f>SUM(E25:E34)</f>
        <v>33889</v>
      </c>
      <c r="F36" s="33">
        <f>SUM(F25:F34)</f>
        <v>91676</v>
      </c>
      <c r="G36" s="34">
        <f>SUM(G25:G34)</f>
        <v>54892</v>
      </c>
      <c r="H36" s="29">
        <f>SUM(H25:H34)</f>
        <v>662417</v>
      </c>
      <c r="I36" s="33">
        <f>SUM(I25:I34)</f>
        <v>5043</v>
      </c>
      <c r="J36" s="35">
        <f>SUM(J25:J34)</f>
        <v>667460</v>
      </c>
    </row>
    <row r="37" spans="1:10" ht="15.5" thickTop="1" thickBot="1" x14ac:dyDescent="0.4">
      <c r="A37" s="10" t="s">
        <v>27</v>
      </c>
      <c r="B37" s="36">
        <f>SUM(B24,B36)</f>
        <v>330992</v>
      </c>
      <c r="C37" s="36">
        <f>SUM(C24,C36)</f>
        <v>189821</v>
      </c>
      <c r="D37" s="36">
        <f>SUM(D24,D36)</f>
        <v>58267</v>
      </c>
      <c r="E37" s="36">
        <f>SUM(E24,E36)</f>
        <v>38324</v>
      </c>
      <c r="F37" s="36">
        <f>SUM(F24,F36)</f>
        <v>107074</v>
      </c>
      <c r="G37" s="37">
        <f>SUM(G24,G36)</f>
        <v>68580</v>
      </c>
      <c r="H37" s="40">
        <f>SUM(H24,H36)</f>
        <v>793058</v>
      </c>
      <c r="I37" s="36">
        <f>SUM(I24,I36)</f>
        <v>6063</v>
      </c>
      <c r="J37" s="41">
        <f>SUM(J24,J36)</f>
        <v>799121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50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48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0</v>
      </c>
      <c r="F8" s="38">
        <v>3</v>
      </c>
      <c r="G8" s="38">
        <v>0</v>
      </c>
      <c r="H8" s="31">
        <v>5</v>
      </c>
      <c r="I8" s="4">
        <v>0</v>
      </c>
      <c r="J8" s="18">
        <v>5</v>
      </c>
    </row>
    <row r="9" spans="1:10" x14ac:dyDescent="0.35">
      <c r="A9" s="17" t="s">
        <v>3</v>
      </c>
      <c r="B9" s="38">
        <v>78</v>
      </c>
      <c r="C9" s="38">
        <v>36</v>
      </c>
      <c r="D9" s="38">
        <v>17</v>
      </c>
      <c r="E9" s="38">
        <v>6</v>
      </c>
      <c r="F9" s="38">
        <v>38</v>
      </c>
      <c r="G9" s="38">
        <v>28</v>
      </c>
      <c r="H9" s="31">
        <v>203</v>
      </c>
      <c r="I9" s="4">
        <v>1</v>
      </c>
      <c r="J9" s="18">
        <v>204</v>
      </c>
    </row>
    <row r="10" spans="1:10" x14ac:dyDescent="0.35">
      <c r="A10" s="17" t="s">
        <v>4</v>
      </c>
      <c r="B10" s="38">
        <v>169</v>
      </c>
      <c r="C10" s="38">
        <v>84</v>
      </c>
      <c r="D10" s="38">
        <v>35</v>
      </c>
      <c r="E10" s="38">
        <v>5</v>
      </c>
      <c r="F10" s="38">
        <v>132</v>
      </c>
      <c r="G10" s="38">
        <v>55</v>
      </c>
      <c r="H10" s="31">
        <v>480</v>
      </c>
      <c r="I10" s="4">
        <v>1</v>
      </c>
      <c r="J10" s="18">
        <v>481</v>
      </c>
    </row>
    <row r="11" spans="1:10" x14ac:dyDescent="0.35">
      <c r="A11" s="17" t="s">
        <v>5</v>
      </c>
      <c r="B11" s="39">
        <v>1338</v>
      </c>
      <c r="C11" s="39">
        <v>1876</v>
      </c>
      <c r="D11" s="39">
        <v>1184</v>
      </c>
      <c r="E11" s="38">
        <v>287</v>
      </c>
      <c r="F11" s="39">
        <v>1045</v>
      </c>
      <c r="G11" s="39">
        <v>970</v>
      </c>
      <c r="H11" s="31">
        <v>6700</v>
      </c>
      <c r="I11" s="4">
        <v>36</v>
      </c>
      <c r="J11" s="18">
        <v>6736</v>
      </c>
    </row>
    <row r="12" spans="1:10" x14ac:dyDescent="0.35">
      <c r="A12" s="17" t="s">
        <v>6</v>
      </c>
      <c r="B12" s="39">
        <v>3591</v>
      </c>
      <c r="C12" s="39">
        <v>4882</v>
      </c>
      <c r="D12" s="39">
        <v>3226</v>
      </c>
      <c r="E12" s="38">
        <v>689</v>
      </c>
      <c r="F12" s="39">
        <v>4112</v>
      </c>
      <c r="G12" s="39">
        <v>4059</v>
      </c>
      <c r="H12" s="31">
        <v>20559</v>
      </c>
      <c r="I12" s="4">
        <v>146</v>
      </c>
      <c r="J12" s="18">
        <v>20705</v>
      </c>
    </row>
    <row r="13" spans="1:10" x14ac:dyDescent="0.35">
      <c r="A13" s="17" t="s">
        <v>7</v>
      </c>
      <c r="B13" s="39">
        <v>7016</v>
      </c>
      <c r="C13" s="39">
        <v>9392</v>
      </c>
      <c r="D13" s="39">
        <v>5039</v>
      </c>
      <c r="E13" s="39">
        <v>1696</v>
      </c>
      <c r="F13" s="39">
        <v>4220</v>
      </c>
      <c r="G13" s="39">
        <v>4807</v>
      </c>
      <c r="H13" s="31">
        <v>32170</v>
      </c>
      <c r="I13" s="4">
        <v>301</v>
      </c>
      <c r="J13" s="18">
        <v>32471</v>
      </c>
    </row>
    <row r="14" spans="1:10" x14ac:dyDescent="0.35">
      <c r="A14" s="17" t="s">
        <v>8</v>
      </c>
      <c r="B14" s="39">
        <v>10677</v>
      </c>
      <c r="C14" s="39">
        <v>11004</v>
      </c>
      <c r="D14" s="39">
        <v>3590</v>
      </c>
      <c r="E14" s="39">
        <v>966</v>
      </c>
      <c r="F14" s="39">
        <v>3575</v>
      </c>
      <c r="G14" s="39">
        <v>2900</v>
      </c>
      <c r="H14" s="31">
        <v>32712</v>
      </c>
      <c r="I14" s="4">
        <v>299</v>
      </c>
      <c r="J14" s="18">
        <v>33011</v>
      </c>
    </row>
    <row r="15" spans="1:10" x14ac:dyDescent="0.35">
      <c r="A15" s="17" t="s">
        <v>9</v>
      </c>
      <c r="B15" s="39">
        <v>7838</v>
      </c>
      <c r="C15" s="39">
        <v>5351</v>
      </c>
      <c r="D15" s="38">
        <v>564</v>
      </c>
      <c r="E15" s="38">
        <v>299</v>
      </c>
      <c r="F15" s="39">
        <v>1084</v>
      </c>
      <c r="G15" s="38">
        <v>511</v>
      </c>
      <c r="H15" s="31">
        <v>15647</v>
      </c>
      <c r="I15" s="4">
        <v>92</v>
      </c>
      <c r="J15" s="18">
        <v>15739</v>
      </c>
    </row>
    <row r="16" spans="1:10" x14ac:dyDescent="0.35">
      <c r="A16" s="17" t="s">
        <v>10</v>
      </c>
      <c r="B16" s="39">
        <v>5478</v>
      </c>
      <c r="C16" s="39">
        <v>1929</v>
      </c>
      <c r="D16" s="38">
        <v>440</v>
      </c>
      <c r="E16" s="38">
        <v>269</v>
      </c>
      <c r="F16" s="39">
        <v>1186</v>
      </c>
      <c r="G16" s="42">
        <v>364</v>
      </c>
      <c r="H16" s="44">
        <v>9666</v>
      </c>
      <c r="I16" s="4">
        <v>35</v>
      </c>
      <c r="J16" s="18">
        <v>9701</v>
      </c>
    </row>
    <row r="17" spans="1:10" x14ac:dyDescent="0.35">
      <c r="A17" s="17" t="s">
        <v>11</v>
      </c>
      <c r="B17" s="38">
        <v>414</v>
      </c>
      <c r="C17" s="38">
        <v>116</v>
      </c>
      <c r="D17" s="38">
        <v>2</v>
      </c>
      <c r="E17" s="38">
        <v>18</v>
      </c>
      <c r="F17" s="38">
        <v>0</v>
      </c>
      <c r="G17" s="42">
        <v>0</v>
      </c>
      <c r="H17" s="45">
        <v>550</v>
      </c>
      <c r="I17" s="43">
        <v>0</v>
      </c>
      <c r="J17" s="48">
        <v>550</v>
      </c>
    </row>
    <row r="18" spans="1:10" x14ac:dyDescent="0.35">
      <c r="A18" s="17" t="s">
        <v>12</v>
      </c>
      <c r="B18" s="39">
        <v>1407</v>
      </c>
      <c r="C18" s="38">
        <v>559</v>
      </c>
      <c r="D18" s="38">
        <v>28</v>
      </c>
      <c r="E18" s="38">
        <v>48</v>
      </c>
      <c r="F18" s="38">
        <v>0</v>
      </c>
      <c r="G18" s="42">
        <v>0</v>
      </c>
      <c r="H18" s="46">
        <v>2042</v>
      </c>
      <c r="I18" s="43">
        <v>38</v>
      </c>
      <c r="J18" s="49">
        <v>2080</v>
      </c>
    </row>
    <row r="19" spans="1:10" x14ac:dyDescent="0.35">
      <c r="A19" s="17" t="s">
        <v>13</v>
      </c>
      <c r="B19" s="39">
        <v>2491</v>
      </c>
      <c r="C19" s="39">
        <v>1218</v>
      </c>
      <c r="D19" s="38">
        <v>29</v>
      </c>
      <c r="E19" s="38">
        <v>72</v>
      </c>
      <c r="F19" s="38">
        <v>0</v>
      </c>
      <c r="G19" s="42">
        <v>0</v>
      </c>
      <c r="H19" s="46">
        <v>3810</v>
      </c>
      <c r="I19" s="43">
        <v>37</v>
      </c>
      <c r="J19" s="49">
        <v>3847</v>
      </c>
    </row>
    <row r="20" spans="1:10" x14ac:dyDescent="0.35">
      <c r="A20" s="17" t="s">
        <v>14</v>
      </c>
      <c r="B20" s="39">
        <v>3021</v>
      </c>
      <c r="C20" s="39">
        <v>1191</v>
      </c>
      <c r="D20" s="38">
        <v>37</v>
      </c>
      <c r="E20" s="38">
        <v>77</v>
      </c>
      <c r="F20" s="38">
        <v>0</v>
      </c>
      <c r="G20" s="42">
        <v>0</v>
      </c>
      <c r="H20" s="46">
        <v>4326</v>
      </c>
      <c r="I20" s="43">
        <v>30</v>
      </c>
      <c r="J20" s="49">
        <v>4356</v>
      </c>
    </row>
    <row r="21" spans="1:10" x14ac:dyDescent="0.35">
      <c r="A21" s="17" t="s">
        <v>15</v>
      </c>
      <c r="B21" s="39">
        <v>1247</v>
      </c>
      <c r="C21" s="38">
        <v>456</v>
      </c>
      <c r="D21" s="38">
        <v>0</v>
      </c>
      <c r="E21" s="38">
        <v>36</v>
      </c>
      <c r="F21" s="38">
        <v>0</v>
      </c>
      <c r="G21" s="42">
        <v>0</v>
      </c>
      <c r="H21" s="47">
        <v>1739</v>
      </c>
      <c r="I21" s="43">
        <v>0</v>
      </c>
      <c r="J21" s="49">
        <v>1739</v>
      </c>
    </row>
    <row r="22" spans="1:10" x14ac:dyDescent="0.35">
      <c r="A22" s="17" t="s">
        <v>39</v>
      </c>
      <c r="B22" s="39">
        <v>1</v>
      </c>
      <c r="C22" s="38">
        <v>0</v>
      </c>
      <c r="D22" s="38">
        <v>5</v>
      </c>
      <c r="E22" s="38">
        <v>0</v>
      </c>
      <c r="F22" s="38">
        <v>0</v>
      </c>
      <c r="G22" s="38">
        <v>0</v>
      </c>
      <c r="H22" s="44">
        <v>6</v>
      </c>
      <c r="I22" s="4">
        <v>0</v>
      </c>
      <c r="J22" s="18">
        <v>6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44768</v>
      </c>
      <c r="C24" s="33">
        <f>SUM(C7:C22)</f>
        <v>38094</v>
      </c>
      <c r="D24" s="33">
        <f>SUM(D7:D22)</f>
        <v>14196</v>
      </c>
      <c r="E24" s="33">
        <f>SUM(E7:E22)</f>
        <v>4468</v>
      </c>
      <c r="F24" s="33">
        <f>SUM(F7:F22)</f>
        <v>15396</v>
      </c>
      <c r="G24" s="33">
        <f>SUM(G7:G22)</f>
        <v>13694</v>
      </c>
      <c r="H24" s="29">
        <f>SUM(H7:H22)</f>
        <v>130616</v>
      </c>
      <c r="I24" s="33">
        <f>SUM(I7:I22)</f>
        <v>1016</v>
      </c>
      <c r="J24" s="35">
        <f>SUM(J7:J22)</f>
        <v>131632</v>
      </c>
    </row>
    <row r="25" spans="1:10" x14ac:dyDescent="0.35">
      <c r="A25" s="17" t="s">
        <v>17</v>
      </c>
      <c r="B25" s="4">
        <v>2027</v>
      </c>
      <c r="C25" s="5">
        <v>1460</v>
      </c>
      <c r="D25" s="5">
        <v>341</v>
      </c>
      <c r="E25" s="5">
        <v>161</v>
      </c>
      <c r="F25" s="5">
        <v>2063</v>
      </c>
      <c r="G25" s="24">
        <v>968</v>
      </c>
      <c r="H25" s="31">
        <v>7020</v>
      </c>
      <c r="I25" s="4">
        <v>67</v>
      </c>
      <c r="J25" s="22">
        <v>7087</v>
      </c>
    </row>
    <row r="26" spans="1:10" x14ac:dyDescent="0.35">
      <c r="A26" s="17" t="s">
        <v>18</v>
      </c>
      <c r="B26" s="3">
        <v>7251</v>
      </c>
      <c r="C26" s="2">
        <v>5477</v>
      </c>
      <c r="D26" s="2">
        <v>1030</v>
      </c>
      <c r="E26" s="2">
        <v>487</v>
      </c>
      <c r="F26" s="2">
        <v>4521</v>
      </c>
      <c r="G26" s="25">
        <v>2853</v>
      </c>
      <c r="H26" s="31">
        <v>21619</v>
      </c>
      <c r="I26" s="3">
        <v>131</v>
      </c>
      <c r="J26" s="22">
        <v>21750</v>
      </c>
    </row>
    <row r="27" spans="1:10" x14ac:dyDescent="0.35">
      <c r="A27" s="17" t="s">
        <v>19</v>
      </c>
      <c r="B27" s="3">
        <v>17810</v>
      </c>
      <c r="C27" s="2">
        <v>13379</v>
      </c>
      <c r="D27" s="2">
        <v>3708</v>
      </c>
      <c r="E27" s="2">
        <v>1120</v>
      </c>
      <c r="F27" s="2">
        <v>14841</v>
      </c>
      <c r="G27" s="25">
        <v>8135</v>
      </c>
      <c r="H27" s="31">
        <v>58993</v>
      </c>
      <c r="I27" s="3">
        <v>715</v>
      </c>
      <c r="J27" s="22">
        <v>59708</v>
      </c>
    </row>
    <row r="28" spans="1:10" x14ac:dyDescent="0.35">
      <c r="A28" s="17" t="s">
        <v>20</v>
      </c>
      <c r="B28" s="3">
        <v>32571</v>
      </c>
      <c r="C28" s="2">
        <v>18794</v>
      </c>
      <c r="D28" s="2">
        <v>11304</v>
      </c>
      <c r="E28" s="2">
        <v>1823</v>
      </c>
      <c r="F28" s="2">
        <v>20146</v>
      </c>
      <c r="G28" s="25">
        <v>13079</v>
      </c>
      <c r="H28" s="31">
        <v>97717</v>
      </c>
      <c r="I28" s="3">
        <v>1535</v>
      </c>
      <c r="J28" s="22">
        <v>99252</v>
      </c>
    </row>
    <row r="29" spans="1:10" x14ac:dyDescent="0.35">
      <c r="A29" s="17" t="s">
        <v>21</v>
      </c>
      <c r="B29" s="3">
        <v>59312</v>
      </c>
      <c r="C29" s="2">
        <v>32230</v>
      </c>
      <c r="D29" s="2">
        <v>15067</v>
      </c>
      <c r="E29" s="2">
        <v>4625</v>
      </c>
      <c r="F29" s="2">
        <v>21286</v>
      </c>
      <c r="G29" s="25">
        <v>12343</v>
      </c>
      <c r="H29" s="31">
        <v>144863</v>
      </c>
      <c r="I29" s="3">
        <v>1577</v>
      </c>
      <c r="J29" s="22">
        <v>146440</v>
      </c>
    </row>
    <row r="30" spans="1:10" x14ac:dyDescent="0.35">
      <c r="A30" s="17" t="s">
        <v>22</v>
      </c>
      <c r="B30" s="3">
        <v>98001</v>
      </c>
      <c r="C30" s="2">
        <v>52356</v>
      </c>
      <c r="D30" s="2">
        <v>7521</v>
      </c>
      <c r="E30" s="2">
        <v>6207</v>
      </c>
      <c r="F30" s="2">
        <v>13929</v>
      </c>
      <c r="G30" s="25">
        <v>11505</v>
      </c>
      <c r="H30" s="31">
        <v>189519</v>
      </c>
      <c r="I30" s="3">
        <v>891</v>
      </c>
      <c r="J30" s="22">
        <v>190410</v>
      </c>
    </row>
    <row r="31" spans="1:10" x14ac:dyDescent="0.35">
      <c r="A31" s="17" t="s">
        <v>23</v>
      </c>
      <c r="B31" s="3">
        <v>34936</v>
      </c>
      <c r="C31" s="2">
        <v>14465</v>
      </c>
      <c r="D31" s="2">
        <v>3517</v>
      </c>
      <c r="E31" s="2">
        <v>14427</v>
      </c>
      <c r="F31" s="2">
        <v>11615</v>
      </c>
      <c r="G31" s="25">
        <v>3983</v>
      </c>
      <c r="H31" s="31">
        <v>82943</v>
      </c>
      <c r="I31" s="3">
        <v>123</v>
      </c>
      <c r="J31" s="22">
        <v>83066</v>
      </c>
    </row>
    <row r="32" spans="1:10" x14ac:dyDescent="0.35">
      <c r="A32" s="17" t="s">
        <v>24</v>
      </c>
      <c r="B32" s="3">
        <v>18615</v>
      </c>
      <c r="C32" s="2">
        <v>7298</v>
      </c>
      <c r="D32" s="2">
        <v>986</v>
      </c>
      <c r="E32" s="2">
        <v>3766</v>
      </c>
      <c r="F32" s="2">
        <v>971</v>
      </c>
      <c r="G32" s="25">
        <v>734</v>
      </c>
      <c r="H32" s="31">
        <v>32370</v>
      </c>
      <c r="I32" s="3">
        <v>0</v>
      </c>
      <c r="J32" s="22">
        <v>32370</v>
      </c>
    </row>
    <row r="33" spans="1:10" x14ac:dyDescent="0.35">
      <c r="A33" s="17" t="s">
        <v>25</v>
      </c>
      <c r="B33" s="2">
        <v>15995</v>
      </c>
      <c r="C33" s="2">
        <v>6562</v>
      </c>
      <c r="D33" s="2">
        <v>784</v>
      </c>
      <c r="E33" s="2">
        <v>1186</v>
      </c>
      <c r="F33" s="2">
        <v>2255</v>
      </c>
      <c r="G33" s="25">
        <v>1348</v>
      </c>
      <c r="H33" s="31">
        <v>28130</v>
      </c>
      <c r="I33" s="3">
        <v>0</v>
      </c>
      <c r="J33" s="22">
        <v>28130</v>
      </c>
    </row>
    <row r="34" spans="1:10" x14ac:dyDescent="0.35">
      <c r="A34" s="17" t="s">
        <v>40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1">
        <v>0</v>
      </c>
      <c r="I34" s="3">
        <v>0</v>
      </c>
      <c r="J34" s="18">
        <v>0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286518</v>
      </c>
      <c r="C36" s="33">
        <f>SUM(C25:C34)</f>
        <v>152021</v>
      </c>
      <c r="D36" s="33">
        <f>SUM(D25:D34)</f>
        <v>44258</v>
      </c>
      <c r="E36" s="33">
        <f>SUM(E25:E34)</f>
        <v>33802</v>
      </c>
      <c r="F36" s="33">
        <f>SUM(F25:F34)</f>
        <v>91627</v>
      </c>
      <c r="G36" s="34">
        <f>SUM(G25:G34)</f>
        <v>54948</v>
      </c>
      <c r="H36" s="29">
        <f>SUM(H25:H34)</f>
        <v>663174</v>
      </c>
      <c r="I36" s="33">
        <f>SUM(I25:I34)</f>
        <v>5039</v>
      </c>
      <c r="J36" s="35">
        <f>SUM(J25:J34)</f>
        <v>668213</v>
      </c>
    </row>
    <row r="37" spans="1:10" ht="15.5" thickTop="1" thickBot="1" x14ac:dyDescent="0.4">
      <c r="A37" s="10" t="s">
        <v>27</v>
      </c>
      <c r="B37" s="36">
        <f>SUM(B24,B36)</f>
        <v>331286</v>
      </c>
      <c r="C37" s="36">
        <f>SUM(C24,C36)</f>
        <v>190115</v>
      </c>
      <c r="D37" s="36">
        <f>SUM(D24,D36)</f>
        <v>58454</v>
      </c>
      <c r="E37" s="36">
        <f>SUM(E24,E36)</f>
        <v>38270</v>
      </c>
      <c r="F37" s="36">
        <f>SUM(F24,F36)</f>
        <v>107023</v>
      </c>
      <c r="G37" s="37">
        <f>SUM(G24,G36)</f>
        <v>68642</v>
      </c>
      <c r="H37" s="40">
        <f>SUM(H24,H36)</f>
        <v>793790</v>
      </c>
      <c r="I37" s="36">
        <f>SUM(I24,I36)</f>
        <v>6055</v>
      </c>
      <c r="J37" s="41">
        <f>SUM(J24,J36)</f>
        <v>799845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2" sqref="A2:J2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49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48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0</v>
      </c>
      <c r="F8" s="38">
        <v>3</v>
      </c>
      <c r="G8" s="38">
        <v>0</v>
      </c>
      <c r="H8" s="31">
        <v>5</v>
      </c>
      <c r="I8" s="4">
        <v>0</v>
      </c>
      <c r="J8" s="18">
        <v>5</v>
      </c>
    </row>
    <row r="9" spans="1:10" x14ac:dyDescent="0.35">
      <c r="A9" s="17" t="s">
        <v>3</v>
      </c>
      <c r="B9" s="38">
        <v>77</v>
      </c>
      <c r="C9" s="38">
        <v>36</v>
      </c>
      <c r="D9" s="38">
        <v>18</v>
      </c>
      <c r="E9" s="38">
        <v>6</v>
      </c>
      <c r="F9" s="38">
        <v>37</v>
      </c>
      <c r="G9" s="38">
        <v>28</v>
      </c>
      <c r="H9" s="31">
        <v>202</v>
      </c>
      <c r="I9" s="4">
        <v>1</v>
      </c>
      <c r="J9" s="18">
        <v>203</v>
      </c>
    </row>
    <row r="10" spans="1:10" x14ac:dyDescent="0.35">
      <c r="A10" s="17" t="s">
        <v>4</v>
      </c>
      <c r="B10" s="38">
        <v>171</v>
      </c>
      <c r="C10" s="38">
        <v>85</v>
      </c>
      <c r="D10" s="38">
        <v>35</v>
      </c>
      <c r="E10" s="38">
        <v>5</v>
      </c>
      <c r="F10" s="38">
        <v>133</v>
      </c>
      <c r="G10" s="38">
        <v>55</v>
      </c>
      <c r="H10" s="31">
        <v>484</v>
      </c>
      <c r="I10" s="4">
        <v>1</v>
      </c>
      <c r="J10" s="18">
        <v>485</v>
      </c>
    </row>
    <row r="11" spans="1:10" x14ac:dyDescent="0.35">
      <c r="A11" s="17" t="s">
        <v>5</v>
      </c>
      <c r="B11" s="39">
        <v>1341</v>
      </c>
      <c r="C11" s="39">
        <v>1878</v>
      </c>
      <c r="D11" s="39">
        <v>1185</v>
      </c>
      <c r="E11" s="38">
        <v>290</v>
      </c>
      <c r="F11" s="39">
        <v>1038</v>
      </c>
      <c r="G11" s="39">
        <v>971</v>
      </c>
      <c r="H11" s="31">
        <v>6703</v>
      </c>
      <c r="I11" s="4">
        <v>36</v>
      </c>
      <c r="J11" s="18">
        <v>6739</v>
      </c>
    </row>
    <row r="12" spans="1:10" x14ac:dyDescent="0.35">
      <c r="A12" s="17" t="s">
        <v>6</v>
      </c>
      <c r="B12" s="39">
        <v>3569</v>
      </c>
      <c r="C12" s="39">
        <v>4894</v>
      </c>
      <c r="D12" s="39">
        <v>3229</v>
      </c>
      <c r="E12" s="38">
        <v>688</v>
      </c>
      <c r="F12" s="39">
        <v>4186</v>
      </c>
      <c r="G12" s="39">
        <v>4072</v>
      </c>
      <c r="H12" s="31">
        <v>20638</v>
      </c>
      <c r="I12" s="4">
        <v>146</v>
      </c>
      <c r="J12" s="18">
        <v>20784</v>
      </c>
    </row>
    <row r="13" spans="1:10" x14ac:dyDescent="0.35">
      <c r="A13" s="17" t="s">
        <v>7</v>
      </c>
      <c r="B13" s="39">
        <v>7020</v>
      </c>
      <c r="C13" s="39">
        <v>9413</v>
      </c>
      <c r="D13" s="39">
        <v>5047</v>
      </c>
      <c r="E13" s="39">
        <v>1686</v>
      </c>
      <c r="F13" s="39">
        <v>4187</v>
      </c>
      <c r="G13" s="39">
        <v>4801</v>
      </c>
      <c r="H13" s="31">
        <v>32154</v>
      </c>
      <c r="I13" s="4">
        <v>300</v>
      </c>
      <c r="J13" s="18">
        <v>32454</v>
      </c>
    </row>
    <row r="14" spans="1:10" x14ac:dyDescent="0.35">
      <c r="A14" s="17" t="s">
        <v>8</v>
      </c>
      <c r="B14" s="39">
        <v>10650</v>
      </c>
      <c r="C14" s="39">
        <v>10994</v>
      </c>
      <c r="D14" s="39">
        <v>3600</v>
      </c>
      <c r="E14" s="39">
        <v>992</v>
      </c>
      <c r="F14" s="39">
        <v>3595</v>
      </c>
      <c r="G14" s="39">
        <v>2931</v>
      </c>
      <c r="H14" s="31">
        <v>32762</v>
      </c>
      <c r="I14" s="4">
        <v>299</v>
      </c>
      <c r="J14" s="18">
        <v>33061</v>
      </c>
    </row>
    <row r="15" spans="1:10" x14ac:dyDescent="0.35">
      <c r="A15" s="17" t="s">
        <v>9</v>
      </c>
      <c r="B15" s="39">
        <v>8287</v>
      </c>
      <c r="C15" s="39">
        <v>5251</v>
      </c>
      <c r="D15" s="38">
        <v>594</v>
      </c>
      <c r="E15" s="38">
        <v>314</v>
      </c>
      <c r="F15" s="39">
        <v>1157</v>
      </c>
      <c r="G15" s="38">
        <v>554</v>
      </c>
      <c r="H15" s="31">
        <v>16157</v>
      </c>
      <c r="I15" s="4">
        <v>91</v>
      </c>
      <c r="J15" s="18">
        <v>16248</v>
      </c>
    </row>
    <row r="16" spans="1:10" x14ac:dyDescent="0.35">
      <c r="A16" s="17" t="s">
        <v>10</v>
      </c>
      <c r="B16" s="39">
        <v>4905</v>
      </c>
      <c r="C16" s="39">
        <v>1918</v>
      </c>
      <c r="D16" s="38">
        <v>419</v>
      </c>
      <c r="E16" s="38">
        <v>262</v>
      </c>
      <c r="F16" s="39">
        <v>1124</v>
      </c>
      <c r="G16" s="42">
        <v>375</v>
      </c>
      <c r="H16" s="44">
        <v>9003</v>
      </c>
      <c r="I16" s="4">
        <v>36</v>
      </c>
      <c r="J16" s="18">
        <v>9039</v>
      </c>
    </row>
    <row r="17" spans="1:10" x14ac:dyDescent="0.35">
      <c r="A17" s="17" t="s">
        <v>11</v>
      </c>
      <c r="B17" s="38">
        <v>417</v>
      </c>
      <c r="C17" s="38">
        <v>115</v>
      </c>
      <c r="D17" s="38">
        <v>2</v>
      </c>
      <c r="E17" s="38">
        <v>18</v>
      </c>
      <c r="F17" s="38">
        <v>0</v>
      </c>
      <c r="G17" s="42">
        <v>0</v>
      </c>
      <c r="H17" s="45">
        <v>552</v>
      </c>
      <c r="I17" s="43">
        <v>0</v>
      </c>
      <c r="J17" s="48">
        <v>552</v>
      </c>
    </row>
    <row r="18" spans="1:10" x14ac:dyDescent="0.35">
      <c r="A18" s="17" t="s">
        <v>12</v>
      </c>
      <c r="B18" s="39">
        <v>1397</v>
      </c>
      <c r="C18" s="38">
        <v>556</v>
      </c>
      <c r="D18" s="38">
        <v>27</v>
      </c>
      <c r="E18" s="38">
        <v>48</v>
      </c>
      <c r="F18" s="38">
        <v>0</v>
      </c>
      <c r="G18" s="42">
        <v>0</v>
      </c>
      <c r="H18" s="46">
        <v>2028</v>
      </c>
      <c r="I18" s="43">
        <v>36</v>
      </c>
      <c r="J18" s="49">
        <v>2064</v>
      </c>
    </row>
    <row r="19" spans="1:10" x14ac:dyDescent="0.35">
      <c r="A19" s="17" t="s">
        <v>13</v>
      </c>
      <c r="B19" s="39">
        <v>2487</v>
      </c>
      <c r="C19" s="39">
        <v>1236</v>
      </c>
      <c r="D19" s="38">
        <v>31</v>
      </c>
      <c r="E19" s="38">
        <v>73</v>
      </c>
      <c r="F19" s="38">
        <v>0</v>
      </c>
      <c r="G19" s="42">
        <v>0</v>
      </c>
      <c r="H19" s="46">
        <v>3827</v>
      </c>
      <c r="I19" s="43">
        <v>39</v>
      </c>
      <c r="J19" s="49">
        <v>3866</v>
      </c>
    </row>
    <row r="20" spans="1:10" x14ac:dyDescent="0.35">
      <c r="A20" s="17" t="s">
        <v>14</v>
      </c>
      <c r="B20" s="39">
        <v>3108</v>
      </c>
      <c r="C20" s="39">
        <v>1182</v>
      </c>
      <c r="D20" s="38">
        <v>36</v>
      </c>
      <c r="E20" s="38">
        <v>76</v>
      </c>
      <c r="F20" s="38">
        <v>0</v>
      </c>
      <c r="G20" s="42">
        <v>0</v>
      </c>
      <c r="H20" s="46">
        <v>4402</v>
      </c>
      <c r="I20" s="43">
        <v>30</v>
      </c>
      <c r="J20" s="49">
        <v>4432</v>
      </c>
    </row>
    <row r="21" spans="1:10" x14ac:dyDescent="0.35">
      <c r="A21" s="17" t="s">
        <v>15</v>
      </c>
      <c r="B21" s="39">
        <v>1182</v>
      </c>
      <c r="C21" s="38">
        <v>456</v>
      </c>
      <c r="D21" s="38">
        <v>0</v>
      </c>
      <c r="E21" s="38">
        <v>36</v>
      </c>
      <c r="F21" s="38">
        <v>0</v>
      </c>
      <c r="G21" s="42">
        <v>0</v>
      </c>
      <c r="H21" s="47">
        <v>1674</v>
      </c>
      <c r="I21" s="43">
        <v>0</v>
      </c>
      <c r="J21" s="49">
        <v>1674</v>
      </c>
    </row>
    <row r="22" spans="1:10" x14ac:dyDescent="0.35">
      <c r="A22" s="17" t="s">
        <v>39</v>
      </c>
      <c r="B22" s="39">
        <v>3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44">
        <v>3</v>
      </c>
      <c r="I22" s="4">
        <v>0</v>
      </c>
      <c r="J22" s="18">
        <v>3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44616</v>
      </c>
      <c r="C24" s="33">
        <f>SUM(C7:C22)</f>
        <v>38014</v>
      </c>
      <c r="D24" s="33">
        <f>SUM(D7:D22)</f>
        <v>14223</v>
      </c>
      <c r="E24" s="33">
        <f>SUM(E7:E22)</f>
        <v>4494</v>
      </c>
      <c r="F24" s="33">
        <f>SUM(F7:F22)</f>
        <v>15461</v>
      </c>
      <c r="G24" s="33">
        <f>SUM(G7:G22)</f>
        <v>13787</v>
      </c>
      <c r="H24" s="29">
        <f>SUM(H7:H22)</f>
        <v>130595</v>
      </c>
      <c r="I24" s="33">
        <f>SUM(I7:I22)</f>
        <v>1015</v>
      </c>
      <c r="J24" s="35">
        <f>SUM(J7:J22)</f>
        <v>131610</v>
      </c>
    </row>
    <row r="25" spans="1:10" x14ac:dyDescent="0.35">
      <c r="A25" s="17" t="s">
        <v>17</v>
      </c>
      <c r="B25" s="4">
        <v>2012</v>
      </c>
      <c r="C25" s="5">
        <v>1446</v>
      </c>
      <c r="D25" s="5">
        <v>345</v>
      </c>
      <c r="E25" s="5">
        <v>160</v>
      </c>
      <c r="F25" s="5">
        <v>2066</v>
      </c>
      <c r="G25" s="24">
        <v>966</v>
      </c>
      <c r="H25" s="31">
        <v>6995</v>
      </c>
      <c r="I25" s="4">
        <v>66</v>
      </c>
      <c r="J25" s="22">
        <v>7061</v>
      </c>
    </row>
    <row r="26" spans="1:10" x14ac:dyDescent="0.35">
      <c r="A26" s="17" t="s">
        <v>18</v>
      </c>
      <c r="B26" s="3">
        <v>7233</v>
      </c>
      <c r="C26" s="2">
        <v>5453</v>
      </c>
      <c r="D26" s="2">
        <v>1033</v>
      </c>
      <c r="E26" s="2">
        <v>494</v>
      </c>
      <c r="F26" s="2">
        <v>4526</v>
      </c>
      <c r="G26" s="25">
        <v>2851</v>
      </c>
      <c r="H26" s="31">
        <v>21590</v>
      </c>
      <c r="I26" s="3">
        <v>130</v>
      </c>
      <c r="J26" s="22">
        <v>21720</v>
      </c>
    </row>
    <row r="27" spans="1:10" x14ac:dyDescent="0.35">
      <c r="A27" s="17" t="s">
        <v>19</v>
      </c>
      <c r="B27" s="3">
        <v>17933</v>
      </c>
      <c r="C27" s="2">
        <v>13297</v>
      </c>
      <c r="D27" s="2">
        <v>3731</v>
      </c>
      <c r="E27" s="2">
        <v>1132</v>
      </c>
      <c r="F27" s="2">
        <v>14855</v>
      </c>
      <c r="G27" s="25">
        <v>8104</v>
      </c>
      <c r="H27" s="31">
        <v>59052</v>
      </c>
      <c r="I27" s="3">
        <v>713</v>
      </c>
      <c r="J27" s="22">
        <v>59765</v>
      </c>
    </row>
    <row r="28" spans="1:10" x14ac:dyDescent="0.35">
      <c r="A28" s="17" t="s">
        <v>20</v>
      </c>
      <c r="B28" s="3">
        <v>32415</v>
      </c>
      <c r="C28" s="2">
        <v>19176</v>
      </c>
      <c r="D28" s="2">
        <v>11520</v>
      </c>
      <c r="E28" s="2">
        <v>1805</v>
      </c>
      <c r="F28" s="2">
        <v>20122</v>
      </c>
      <c r="G28" s="25">
        <v>13133</v>
      </c>
      <c r="H28" s="31">
        <v>98171</v>
      </c>
      <c r="I28" s="3">
        <v>1541</v>
      </c>
      <c r="J28" s="22">
        <v>99712</v>
      </c>
    </row>
    <row r="29" spans="1:10" x14ac:dyDescent="0.35">
      <c r="A29" s="17" t="s">
        <v>21</v>
      </c>
      <c r="B29" s="3">
        <v>59406</v>
      </c>
      <c r="C29" s="2">
        <v>31569</v>
      </c>
      <c r="D29" s="2">
        <v>15166</v>
      </c>
      <c r="E29" s="2">
        <v>4495</v>
      </c>
      <c r="F29" s="2">
        <v>21102</v>
      </c>
      <c r="G29" s="25">
        <v>12296</v>
      </c>
      <c r="H29" s="31">
        <v>144034</v>
      </c>
      <c r="I29" s="3">
        <v>1580</v>
      </c>
      <c r="J29" s="22">
        <v>145614</v>
      </c>
    </row>
    <row r="30" spans="1:10" x14ac:dyDescent="0.35">
      <c r="A30" s="17" t="s">
        <v>22</v>
      </c>
      <c r="B30" s="3">
        <v>97412</v>
      </c>
      <c r="C30" s="2">
        <v>52696</v>
      </c>
      <c r="D30" s="2">
        <v>7569</v>
      </c>
      <c r="E30" s="2">
        <v>6171</v>
      </c>
      <c r="F30" s="2">
        <v>13698</v>
      </c>
      <c r="G30" s="25">
        <v>11548</v>
      </c>
      <c r="H30" s="31">
        <v>189094</v>
      </c>
      <c r="I30" s="3">
        <v>898</v>
      </c>
      <c r="J30" s="22">
        <v>189992</v>
      </c>
    </row>
    <row r="31" spans="1:10" x14ac:dyDescent="0.35">
      <c r="A31" s="17" t="s">
        <v>23</v>
      </c>
      <c r="B31" s="3">
        <v>35137</v>
      </c>
      <c r="C31" s="2">
        <v>14480</v>
      </c>
      <c r="D31" s="2">
        <v>3479</v>
      </c>
      <c r="E31" s="2">
        <v>14712</v>
      </c>
      <c r="F31" s="2">
        <v>11496</v>
      </c>
      <c r="G31" s="25">
        <v>3991</v>
      </c>
      <c r="H31" s="31">
        <v>83295</v>
      </c>
      <c r="I31" s="3">
        <v>121</v>
      </c>
      <c r="J31" s="22">
        <v>83416</v>
      </c>
    </row>
    <row r="32" spans="1:10" x14ac:dyDescent="0.35">
      <c r="A32" s="17" t="s">
        <v>24</v>
      </c>
      <c r="B32" s="3">
        <v>18744</v>
      </c>
      <c r="C32" s="2">
        <v>7193</v>
      </c>
      <c r="D32" s="2">
        <v>968</v>
      </c>
      <c r="E32" s="2">
        <v>3378</v>
      </c>
      <c r="F32" s="2">
        <v>1009</v>
      </c>
      <c r="G32" s="25">
        <v>778</v>
      </c>
      <c r="H32" s="31">
        <v>32070</v>
      </c>
      <c r="I32" s="3">
        <v>0</v>
      </c>
      <c r="J32" s="22">
        <v>32070</v>
      </c>
    </row>
    <row r="33" spans="1:10" x14ac:dyDescent="0.35">
      <c r="A33" s="17" t="s">
        <v>25</v>
      </c>
      <c r="B33" s="2">
        <v>16318</v>
      </c>
      <c r="C33" s="2">
        <v>7081</v>
      </c>
      <c r="D33" s="2">
        <v>768</v>
      </c>
      <c r="E33" s="2">
        <v>1362</v>
      </c>
      <c r="F33" s="2">
        <v>2304</v>
      </c>
      <c r="G33" s="25">
        <v>1390</v>
      </c>
      <c r="H33" s="31">
        <v>29223</v>
      </c>
      <c r="I33" s="3">
        <v>0</v>
      </c>
      <c r="J33" s="22">
        <v>29223</v>
      </c>
    </row>
    <row r="34" spans="1:10" x14ac:dyDescent="0.35">
      <c r="A34" s="17" t="s">
        <v>40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1">
        <v>0</v>
      </c>
      <c r="I34" s="3">
        <v>0</v>
      </c>
      <c r="J34" s="18">
        <v>0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286610</v>
      </c>
      <c r="C36" s="33">
        <f>SUM(C25:C34)</f>
        <v>152391</v>
      </c>
      <c r="D36" s="33">
        <f>SUM(D25:D34)</f>
        <v>44579</v>
      </c>
      <c r="E36" s="33">
        <f>SUM(E25:E34)</f>
        <v>33709</v>
      </c>
      <c r="F36" s="33">
        <f>SUM(F25:F34)</f>
        <v>91178</v>
      </c>
      <c r="G36" s="34">
        <f>SUM(G25:G34)</f>
        <v>55057</v>
      </c>
      <c r="H36" s="29">
        <f>SUM(H25:H34)</f>
        <v>663524</v>
      </c>
      <c r="I36" s="33">
        <f>SUM(I25:I34)</f>
        <v>5049</v>
      </c>
      <c r="J36" s="35">
        <f>SUM(J25:J34)</f>
        <v>668573</v>
      </c>
    </row>
    <row r="37" spans="1:10" ht="15.5" thickTop="1" thickBot="1" x14ac:dyDescent="0.4">
      <c r="A37" s="10" t="s">
        <v>27</v>
      </c>
      <c r="B37" s="36">
        <f>SUM(B24,B36)</f>
        <v>331226</v>
      </c>
      <c r="C37" s="36">
        <f>SUM(C24,C36)</f>
        <v>190405</v>
      </c>
      <c r="D37" s="36">
        <f>SUM(D24,D36)</f>
        <v>58802</v>
      </c>
      <c r="E37" s="36">
        <f>SUM(E24,E36)</f>
        <v>38203</v>
      </c>
      <c r="F37" s="36">
        <f>SUM(F24,F36)</f>
        <v>106639</v>
      </c>
      <c r="G37" s="37">
        <f>SUM(G24,G36)</f>
        <v>68844</v>
      </c>
      <c r="H37" s="40">
        <f>SUM(H24,H36)</f>
        <v>794119</v>
      </c>
      <c r="I37" s="36">
        <f>SUM(I24,I36)</f>
        <v>6064</v>
      </c>
      <c r="J37" s="41">
        <f>SUM(J24,J36)</f>
        <v>800183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47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41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0</v>
      </c>
      <c r="F8" s="38">
        <v>3</v>
      </c>
      <c r="G8" s="38">
        <v>0</v>
      </c>
      <c r="H8" s="31">
        <v>5</v>
      </c>
      <c r="I8" s="4">
        <v>0</v>
      </c>
      <c r="J8" s="18">
        <v>5</v>
      </c>
    </row>
    <row r="9" spans="1:10" x14ac:dyDescent="0.35">
      <c r="A9" s="17" t="s">
        <v>3</v>
      </c>
      <c r="B9" s="38">
        <v>71</v>
      </c>
      <c r="C9" s="38">
        <v>36</v>
      </c>
      <c r="D9" s="38">
        <v>18</v>
      </c>
      <c r="E9" s="38">
        <v>6</v>
      </c>
      <c r="F9" s="38">
        <v>37</v>
      </c>
      <c r="G9" s="38">
        <v>27</v>
      </c>
      <c r="H9" s="31">
        <v>195</v>
      </c>
      <c r="I9" s="4">
        <v>1</v>
      </c>
      <c r="J9" s="18">
        <v>196</v>
      </c>
    </row>
    <row r="10" spans="1:10" x14ac:dyDescent="0.35">
      <c r="A10" s="17" t="s">
        <v>4</v>
      </c>
      <c r="B10" s="38">
        <v>173</v>
      </c>
      <c r="C10" s="38">
        <v>84</v>
      </c>
      <c r="D10" s="38">
        <v>35</v>
      </c>
      <c r="E10" s="38">
        <v>6</v>
      </c>
      <c r="F10" s="38">
        <v>136</v>
      </c>
      <c r="G10" s="38">
        <v>55</v>
      </c>
      <c r="H10" s="31">
        <v>489</v>
      </c>
      <c r="I10" s="4">
        <v>1</v>
      </c>
      <c r="J10" s="18">
        <v>490</v>
      </c>
    </row>
    <row r="11" spans="1:10" x14ac:dyDescent="0.35">
      <c r="A11" s="17" t="s">
        <v>5</v>
      </c>
      <c r="B11" s="39">
        <v>1363</v>
      </c>
      <c r="C11" s="39">
        <v>1868</v>
      </c>
      <c r="D11" s="39">
        <v>1174</v>
      </c>
      <c r="E11" s="38">
        <v>289</v>
      </c>
      <c r="F11" s="39">
        <v>1033</v>
      </c>
      <c r="G11" s="39">
        <v>1000</v>
      </c>
      <c r="H11" s="31">
        <v>6727</v>
      </c>
      <c r="I11" s="4">
        <v>36</v>
      </c>
      <c r="J11" s="18">
        <v>6763</v>
      </c>
    </row>
    <row r="12" spans="1:10" x14ac:dyDescent="0.35">
      <c r="A12" s="17" t="s">
        <v>6</v>
      </c>
      <c r="B12" s="39">
        <v>3550</v>
      </c>
      <c r="C12" s="39">
        <v>4908</v>
      </c>
      <c r="D12" s="39">
        <v>3212</v>
      </c>
      <c r="E12" s="38">
        <v>684</v>
      </c>
      <c r="F12" s="39">
        <v>4224</v>
      </c>
      <c r="G12" s="39">
        <v>4051</v>
      </c>
      <c r="H12" s="31">
        <v>20629</v>
      </c>
      <c r="I12" s="4">
        <v>148</v>
      </c>
      <c r="J12" s="18">
        <v>20777</v>
      </c>
    </row>
    <row r="13" spans="1:10" x14ac:dyDescent="0.35">
      <c r="A13" s="17" t="s">
        <v>7</v>
      </c>
      <c r="B13" s="39">
        <v>7057</v>
      </c>
      <c r="C13" s="39">
        <v>9385</v>
      </c>
      <c r="D13" s="39">
        <v>5041</v>
      </c>
      <c r="E13" s="39">
        <v>1702</v>
      </c>
      <c r="F13" s="39">
        <v>4192</v>
      </c>
      <c r="G13" s="39">
        <v>4809</v>
      </c>
      <c r="H13" s="31">
        <v>32186</v>
      </c>
      <c r="I13" s="4">
        <v>298</v>
      </c>
      <c r="J13" s="18">
        <v>32484</v>
      </c>
    </row>
    <row r="14" spans="1:10" x14ac:dyDescent="0.35">
      <c r="A14" s="17" t="s">
        <v>8</v>
      </c>
      <c r="B14" s="39">
        <v>10657</v>
      </c>
      <c r="C14" s="39">
        <v>11062</v>
      </c>
      <c r="D14" s="39">
        <v>3645</v>
      </c>
      <c r="E14" s="39">
        <v>966</v>
      </c>
      <c r="F14" s="39">
        <v>3533</v>
      </c>
      <c r="G14" s="39">
        <v>2965</v>
      </c>
      <c r="H14" s="31">
        <v>32828</v>
      </c>
      <c r="I14" s="4">
        <v>298</v>
      </c>
      <c r="J14" s="18">
        <v>33126</v>
      </c>
    </row>
    <row r="15" spans="1:10" x14ac:dyDescent="0.35">
      <c r="A15" s="17" t="s">
        <v>9</v>
      </c>
      <c r="B15" s="39">
        <v>8069</v>
      </c>
      <c r="C15" s="39">
        <v>5208</v>
      </c>
      <c r="D15" s="38">
        <v>616</v>
      </c>
      <c r="E15" s="38">
        <v>310</v>
      </c>
      <c r="F15" s="39">
        <v>1150</v>
      </c>
      <c r="G15" s="38">
        <v>525</v>
      </c>
      <c r="H15" s="31">
        <v>15878</v>
      </c>
      <c r="I15" s="4">
        <v>90</v>
      </c>
      <c r="J15" s="18">
        <v>15968</v>
      </c>
    </row>
    <row r="16" spans="1:10" x14ac:dyDescent="0.35">
      <c r="A16" s="17" t="s">
        <v>10</v>
      </c>
      <c r="B16" s="39">
        <v>4974</v>
      </c>
      <c r="C16" s="39">
        <v>1881</v>
      </c>
      <c r="D16" s="38">
        <v>410</v>
      </c>
      <c r="E16" s="38">
        <v>264</v>
      </c>
      <c r="F16" s="39">
        <v>1165</v>
      </c>
      <c r="G16" s="42">
        <v>382</v>
      </c>
      <c r="H16" s="44">
        <v>9076</v>
      </c>
      <c r="I16" s="4">
        <v>36</v>
      </c>
      <c r="J16" s="18">
        <v>9112</v>
      </c>
    </row>
    <row r="17" spans="1:10" x14ac:dyDescent="0.35">
      <c r="A17" s="17" t="s">
        <v>11</v>
      </c>
      <c r="B17" s="39">
        <v>427</v>
      </c>
      <c r="C17" s="38">
        <v>114</v>
      </c>
      <c r="D17" s="38">
        <v>2</v>
      </c>
      <c r="E17" s="38">
        <v>18</v>
      </c>
      <c r="F17" s="38">
        <v>0</v>
      </c>
      <c r="G17" s="42">
        <v>0</v>
      </c>
      <c r="H17" s="46">
        <v>561</v>
      </c>
      <c r="I17" s="43">
        <v>0</v>
      </c>
      <c r="J17" s="49">
        <v>561</v>
      </c>
    </row>
    <row r="18" spans="1:10" x14ac:dyDescent="0.35">
      <c r="A18" s="17" t="s">
        <v>12</v>
      </c>
      <c r="B18" s="39">
        <v>1424</v>
      </c>
      <c r="C18" s="39">
        <v>559</v>
      </c>
      <c r="D18" s="38">
        <v>27</v>
      </c>
      <c r="E18" s="38">
        <v>48</v>
      </c>
      <c r="F18" s="38">
        <v>0</v>
      </c>
      <c r="G18" s="42">
        <v>0</v>
      </c>
      <c r="H18" s="46">
        <v>2058</v>
      </c>
      <c r="I18" s="43">
        <v>35</v>
      </c>
      <c r="J18" s="49">
        <v>2093</v>
      </c>
    </row>
    <row r="19" spans="1:10" x14ac:dyDescent="0.35">
      <c r="A19" s="17" t="s">
        <v>13</v>
      </c>
      <c r="B19" s="39">
        <v>2504</v>
      </c>
      <c r="C19" s="39">
        <v>1225</v>
      </c>
      <c r="D19" s="38">
        <v>29</v>
      </c>
      <c r="E19" s="38">
        <v>73</v>
      </c>
      <c r="F19" s="38">
        <v>0</v>
      </c>
      <c r="G19" s="42">
        <v>0</v>
      </c>
      <c r="H19" s="46">
        <v>3831</v>
      </c>
      <c r="I19" s="43">
        <v>39</v>
      </c>
      <c r="J19" s="49">
        <v>3870</v>
      </c>
    </row>
    <row r="20" spans="1:10" x14ac:dyDescent="0.35">
      <c r="A20" s="17" t="s">
        <v>14</v>
      </c>
      <c r="B20" s="39">
        <v>3019</v>
      </c>
      <c r="C20" s="39">
        <v>1174</v>
      </c>
      <c r="D20" s="38">
        <v>36</v>
      </c>
      <c r="E20" s="38">
        <v>76</v>
      </c>
      <c r="F20" s="38">
        <v>0</v>
      </c>
      <c r="G20" s="42">
        <v>0</v>
      </c>
      <c r="H20" s="47">
        <v>4305</v>
      </c>
      <c r="I20" s="43">
        <v>32</v>
      </c>
      <c r="J20" s="49">
        <v>4337</v>
      </c>
    </row>
    <row r="21" spans="1:10" x14ac:dyDescent="0.35">
      <c r="A21" s="17" t="s">
        <v>15</v>
      </c>
      <c r="B21" s="39">
        <v>1240</v>
      </c>
      <c r="C21" s="38">
        <v>462</v>
      </c>
      <c r="D21" s="38">
        <v>0</v>
      </c>
      <c r="E21" s="38">
        <v>36</v>
      </c>
      <c r="F21" s="38">
        <v>0</v>
      </c>
      <c r="G21" s="38">
        <v>0</v>
      </c>
      <c r="H21" s="44">
        <v>1738</v>
      </c>
      <c r="I21" s="4">
        <v>0</v>
      </c>
      <c r="J21" s="18">
        <v>1738</v>
      </c>
    </row>
    <row r="22" spans="1:10" x14ac:dyDescent="0.35">
      <c r="A22" s="17" t="s">
        <v>39</v>
      </c>
      <c r="B22" s="38">
        <v>2</v>
      </c>
      <c r="C22" s="38">
        <v>0</v>
      </c>
      <c r="D22" s="38">
        <v>0</v>
      </c>
      <c r="E22" s="38">
        <v>0</v>
      </c>
      <c r="F22" s="38">
        <v>0</v>
      </c>
      <c r="G22" s="42">
        <v>0</v>
      </c>
      <c r="H22" s="45">
        <v>2</v>
      </c>
      <c r="I22" s="43">
        <v>0</v>
      </c>
      <c r="J22" s="48">
        <v>2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44532</v>
      </c>
      <c r="C24" s="33">
        <f>SUM(C7:C22)</f>
        <v>37966</v>
      </c>
      <c r="D24" s="33">
        <f>SUM(D7:D22)</f>
        <v>14245</v>
      </c>
      <c r="E24" s="33">
        <f>SUM(E7:E22)</f>
        <v>4478</v>
      </c>
      <c r="F24" s="33">
        <f>SUM(F7:F22)</f>
        <v>15474</v>
      </c>
      <c r="G24" s="33">
        <f>SUM(G7:G22)</f>
        <v>13814</v>
      </c>
      <c r="H24" s="29">
        <f>SUM(H7:H22)</f>
        <v>130509</v>
      </c>
      <c r="I24" s="33">
        <f>SUM(I7:I22)</f>
        <v>1014</v>
      </c>
      <c r="J24" s="35">
        <f>SUM(J7:J22)</f>
        <v>131523</v>
      </c>
    </row>
    <row r="25" spans="1:10" x14ac:dyDescent="0.35">
      <c r="A25" s="17" t="s">
        <v>17</v>
      </c>
      <c r="B25" s="4">
        <v>1999</v>
      </c>
      <c r="C25" s="5">
        <v>1420</v>
      </c>
      <c r="D25" s="5">
        <v>342</v>
      </c>
      <c r="E25" s="5">
        <v>160</v>
      </c>
      <c r="F25" s="5">
        <v>2064</v>
      </c>
      <c r="G25" s="24">
        <v>960</v>
      </c>
      <c r="H25" s="31">
        <v>6945</v>
      </c>
      <c r="I25" s="4">
        <v>68</v>
      </c>
      <c r="J25" s="22">
        <v>7013</v>
      </c>
    </row>
    <row r="26" spans="1:10" x14ac:dyDescent="0.35">
      <c r="A26" s="17" t="s">
        <v>18</v>
      </c>
      <c r="B26" s="3">
        <v>7188</v>
      </c>
      <c r="C26" s="2">
        <v>5398</v>
      </c>
      <c r="D26" s="2">
        <v>1029</v>
      </c>
      <c r="E26" s="2">
        <v>500</v>
      </c>
      <c r="F26" s="2">
        <v>4536</v>
      </c>
      <c r="G26" s="25">
        <v>2840</v>
      </c>
      <c r="H26" s="31">
        <v>21491</v>
      </c>
      <c r="I26" s="3">
        <v>131</v>
      </c>
      <c r="J26" s="22">
        <v>21622</v>
      </c>
    </row>
    <row r="27" spans="1:10" x14ac:dyDescent="0.35">
      <c r="A27" s="17" t="s">
        <v>19</v>
      </c>
      <c r="B27" s="3">
        <v>18066</v>
      </c>
      <c r="C27" s="2">
        <v>13524</v>
      </c>
      <c r="D27" s="2">
        <v>3730</v>
      </c>
      <c r="E27" s="2">
        <v>1136</v>
      </c>
      <c r="F27" s="2">
        <v>14854</v>
      </c>
      <c r="G27" s="25">
        <v>8102</v>
      </c>
      <c r="H27" s="31">
        <v>59412</v>
      </c>
      <c r="I27" s="3">
        <v>711</v>
      </c>
      <c r="J27" s="22">
        <v>60123</v>
      </c>
    </row>
    <row r="28" spans="1:10" x14ac:dyDescent="0.35">
      <c r="A28" s="17" t="s">
        <v>20</v>
      </c>
      <c r="B28" s="3">
        <v>32218</v>
      </c>
      <c r="C28" s="2">
        <v>18846</v>
      </c>
      <c r="D28" s="2">
        <v>11612</v>
      </c>
      <c r="E28" s="2">
        <v>1831</v>
      </c>
      <c r="F28" s="2">
        <v>20176</v>
      </c>
      <c r="G28" s="25">
        <v>13194</v>
      </c>
      <c r="H28" s="31">
        <v>97877</v>
      </c>
      <c r="I28" s="3">
        <v>1573</v>
      </c>
      <c r="J28" s="22">
        <v>99450</v>
      </c>
    </row>
    <row r="29" spans="1:10" x14ac:dyDescent="0.35">
      <c r="A29" s="17" t="s">
        <v>21</v>
      </c>
      <c r="B29" s="3">
        <v>59410</v>
      </c>
      <c r="C29" s="2">
        <v>31905</v>
      </c>
      <c r="D29" s="2">
        <v>15195</v>
      </c>
      <c r="E29" s="2">
        <v>4762</v>
      </c>
      <c r="F29" s="2">
        <v>21027</v>
      </c>
      <c r="G29" s="25">
        <v>12281</v>
      </c>
      <c r="H29" s="31">
        <v>144580</v>
      </c>
      <c r="I29" s="3">
        <v>1565</v>
      </c>
      <c r="J29" s="22">
        <v>146145</v>
      </c>
    </row>
    <row r="30" spans="1:10" x14ac:dyDescent="0.35">
      <c r="A30" s="17" t="s">
        <v>22</v>
      </c>
      <c r="B30" s="3">
        <v>96999</v>
      </c>
      <c r="C30" s="2">
        <v>52504</v>
      </c>
      <c r="D30" s="2">
        <v>7526</v>
      </c>
      <c r="E30" s="2">
        <v>6374</v>
      </c>
      <c r="F30" s="2">
        <v>13542</v>
      </c>
      <c r="G30" s="25">
        <v>11525</v>
      </c>
      <c r="H30" s="31">
        <v>188470</v>
      </c>
      <c r="I30" s="3">
        <v>897</v>
      </c>
      <c r="J30" s="22">
        <v>189367</v>
      </c>
    </row>
    <row r="31" spans="1:10" x14ac:dyDescent="0.35">
      <c r="A31" s="17" t="s">
        <v>23</v>
      </c>
      <c r="B31" s="3">
        <v>35411</v>
      </c>
      <c r="C31" s="2">
        <v>14811</v>
      </c>
      <c r="D31" s="2">
        <v>3452</v>
      </c>
      <c r="E31" s="2">
        <v>14360</v>
      </c>
      <c r="F31" s="2">
        <v>11443</v>
      </c>
      <c r="G31" s="25">
        <v>4021</v>
      </c>
      <c r="H31" s="31">
        <v>83498</v>
      </c>
      <c r="I31" s="3">
        <v>111</v>
      </c>
      <c r="J31" s="22">
        <v>83609</v>
      </c>
    </row>
    <row r="32" spans="1:10" x14ac:dyDescent="0.35">
      <c r="A32" s="17" t="s">
        <v>24</v>
      </c>
      <c r="B32" s="3">
        <v>18673</v>
      </c>
      <c r="C32" s="2">
        <v>6888</v>
      </c>
      <c r="D32" s="2">
        <v>924</v>
      </c>
      <c r="E32" s="2">
        <v>3363</v>
      </c>
      <c r="F32" s="2">
        <v>1029</v>
      </c>
      <c r="G32" s="25">
        <v>810</v>
      </c>
      <c r="H32" s="31">
        <v>31687</v>
      </c>
      <c r="I32" s="3">
        <v>0</v>
      </c>
      <c r="J32" s="22">
        <v>31687</v>
      </c>
    </row>
    <row r="33" spans="1:10" x14ac:dyDescent="0.35">
      <c r="A33" s="17" t="s">
        <v>25</v>
      </c>
      <c r="B33" s="2">
        <v>16502</v>
      </c>
      <c r="C33" s="2">
        <v>7238</v>
      </c>
      <c r="D33" s="2">
        <v>746</v>
      </c>
      <c r="E33" s="2">
        <v>1229</v>
      </c>
      <c r="F33" s="2">
        <v>2421</v>
      </c>
      <c r="G33" s="25">
        <v>1381</v>
      </c>
      <c r="H33" s="31">
        <v>29517</v>
      </c>
      <c r="I33" s="3">
        <v>0</v>
      </c>
      <c r="J33" s="22">
        <v>29517</v>
      </c>
    </row>
    <row r="34" spans="1:10" x14ac:dyDescent="0.35">
      <c r="A34" s="17" t="s">
        <v>40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1">
        <v>0</v>
      </c>
      <c r="I34" s="3">
        <v>0</v>
      </c>
      <c r="J34" s="18">
        <v>0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286466</v>
      </c>
      <c r="C36" s="33">
        <f>SUM(C25:C34)</f>
        <v>152534</v>
      </c>
      <c r="D36" s="33">
        <f>SUM(D25:D34)</f>
        <v>44556</v>
      </c>
      <c r="E36" s="33">
        <f>SUM(E25:E34)</f>
        <v>33715</v>
      </c>
      <c r="F36" s="33">
        <f>SUM(F25:F34)</f>
        <v>91092</v>
      </c>
      <c r="G36" s="34">
        <f>SUM(G25:G34)</f>
        <v>55114</v>
      </c>
      <c r="H36" s="29">
        <f>SUM(H25:H34)</f>
        <v>663477</v>
      </c>
      <c r="I36" s="33">
        <f>SUM(I25:I34)</f>
        <v>5056</v>
      </c>
      <c r="J36" s="35">
        <f>SUM(J25:J34)</f>
        <v>668533</v>
      </c>
    </row>
    <row r="37" spans="1:10" ht="15.5" thickTop="1" thickBot="1" x14ac:dyDescent="0.4">
      <c r="A37" s="10" t="s">
        <v>27</v>
      </c>
      <c r="B37" s="36">
        <f>SUM(B24,B36)</f>
        <v>330998</v>
      </c>
      <c r="C37" s="36">
        <f>SUM(C24,C36)</f>
        <v>190500</v>
      </c>
      <c r="D37" s="36">
        <f>SUM(D24,D36)</f>
        <v>58801</v>
      </c>
      <c r="E37" s="36">
        <f>SUM(E24,E36)</f>
        <v>38193</v>
      </c>
      <c r="F37" s="36">
        <f>SUM(F24,F36)</f>
        <v>106566</v>
      </c>
      <c r="G37" s="37">
        <f>SUM(G24,G36)</f>
        <v>68928</v>
      </c>
      <c r="H37" s="40">
        <f>SUM(H24,H36)</f>
        <v>793986</v>
      </c>
      <c r="I37" s="36">
        <f>SUM(I24,I36)</f>
        <v>6070</v>
      </c>
      <c r="J37" s="41">
        <f>SUM(J24,J36)</f>
        <v>800056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46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41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0</v>
      </c>
      <c r="F8" s="38">
        <v>3</v>
      </c>
      <c r="G8" s="38">
        <v>0</v>
      </c>
      <c r="H8" s="31">
        <v>5</v>
      </c>
      <c r="I8" s="4">
        <v>0</v>
      </c>
      <c r="J8" s="18">
        <v>5</v>
      </c>
    </row>
    <row r="9" spans="1:10" x14ac:dyDescent="0.35">
      <c r="A9" s="17" t="s">
        <v>3</v>
      </c>
      <c r="B9" s="38">
        <v>71</v>
      </c>
      <c r="C9" s="38">
        <v>38</v>
      </c>
      <c r="D9" s="38">
        <v>18</v>
      </c>
      <c r="E9" s="38">
        <v>6</v>
      </c>
      <c r="F9" s="38">
        <v>41</v>
      </c>
      <c r="G9" s="38">
        <v>28</v>
      </c>
      <c r="H9" s="31">
        <v>202</v>
      </c>
      <c r="I9" s="4">
        <v>1</v>
      </c>
      <c r="J9" s="18">
        <v>203</v>
      </c>
    </row>
    <row r="10" spans="1:10" x14ac:dyDescent="0.35">
      <c r="A10" s="17" t="s">
        <v>4</v>
      </c>
      <c r="B10" s="38">
        <v>173</v>
      </c>
      <c r="C10" s="38">
        <v>84</v>
      </c>
      <c r="D10" s="38">
        <v>35</v>
      </c>
      <c r="E10" s="38">
        <v>6</v>
      </c>
      <c r="F10" s="38">
        <v>136</v>
      </c>
      <c r="G10" s="38">
        <v>55</v>
      </c>
      <c r="H10" s="31">
        <v>489</v>
      </c>
      <c r="I10" s="4">
        <v>1</v>
      </c>
      <c r="J10" s="18">
        <v>490</v>
      </c>
    </row>
    <row r="11" spans="1:10" x14ac:dyDescent="0.35">
      <c r="A11" s="17" t="s">
        <v>5</v>
      </c>
      <c r="B11" s="39">
        <v>1354</v>
      </c>
      <c r="C11" s="39">
        <v>1873</v>
      </c>
      <c r="D11" s="39">
        <v>1184</v>
      </c>
      <c r="E11" s="38">
        <v>289</v>
      </c>
      <c r="F11" s="39">
        <v>1023</v>
      </c>
      <c r="G11" s="39">
        <v>1022</v>
      </c>
      <c r="H11" s="31">
        <v>6745</v>
      </c>
      <c r="I11" s="4">
        <v>36</v>
      </c>
      <c r="J11" s="18">
        <v>6781</v>
      </c>
    </row>
    <row r="12" spans="1:10" x14ac:dyDescent="0.35">
      <c r="A12" s="17" t="s">
        <v>6</v>
      </c>
      <c r="B12" s="39">
        <v>3542</v>
      </c>
      <c r="C12" s="39">
        <v>4877</v>
      </c>
      <c r="D12" s="39">
        <v>3247</v>
      </c>
      <c r="E12" s="38">
        <v>676</v>
      </c>
      <c r="F12" s="39">
        <v>4249</v>
      </c>
      <c r="G12" s="39">
        <v>4049</v>
      </c>
      <c r="H12" s="31">
        <v>20640</v>
      </c>
      <c r="I12" s="4">
        <v>147</v>
      </c>
      <c r="J12" s="18">
        <v>20787</v>
      </c>
    </row>
    <row r="13" spans="1:10" x14ac:dyDescent="0.35">
      <c r="A13" s="17" t="s">
        <v>7</v>
      </c>
      <c r="B13" s="39">
        <v>7050</v>
      </c>
      <c r="C13" s="39">
        <v>9389</v>
      </c>
      <c r="D13" s="39">
        <v>5060</v>
      </c>
      <c r="E13" s="39">
        <v>1695</v>
      </c>
      <c r="F13" s="39">
        <v>4182</v>
      </c>
      <c r="G13" s="39">
        <v>4864</v>
      </c>
      <c r="H13" s="31">
        <v>32240</v>
      </c>
      <c r="I13" s="4">
        <v>299</v>
      </c>
      <c r="J13" s="18">
        <v>32539</v>
      </c>
    </row>
    <row r="14" spans="1:10" x14ac:dyDescent="0.35">
      <c r="A14" s="17" t="s">
        <v>8</v>
      </c>
      <c r="B14" s="39">
        <v>10631</v>
      </c>
      <c r="C14" s="39">
        <v>11031</v>
      </c>
      <c r="D14" s="39">
        <v>3596</v>
      </c>
      <c r="E14" s="39">
        <v>960</v>
      </c>
      <c r="F14" s="39">
        <v>3577</v>
      </c>
      <c r="G14" s="39">
        <v>2928</v>
      </c>
      <c r="H14" s="31">
        <v>32723</v>
      </c>
      <c r="I14" s="4">
        <v>301</v>
      </c>
      <c r="J14" s="18">
        <v>33024</v>
      </c>
    </row>
    <row r="15" spans="1:10" x14ac:dyDescent="0.35">
      <c r="A15" s="17" t="s">
        <v>9</v>
      </c>
      <c r="B15" s="39">
        <v>7971</v>
      </c>
      <c r="C15" s="39">
        <v>5220</v>
      </c>
      <c r="D15" s="38">
        <v>591</v>
      </c>
      <c r="E15" s="38">
        <v>313</v>
      </c>
      <c r="F15" s="39">
        <v>1047</v>
      </c>
      <c r="G15" s="38">
        <v>505</v>
      </c>
      <c r="H15" s="31">
        <v>15647</v>
      </c>
      <c r="I15" s="4">
        <v>88</v>
      </c>
      <c r="J15" s="18">
        <v>15735</v>
      </c>
    </row>
    <row r="16" spans="1:10" x14ac:dyDescent="0.35">
      <c r="A16" s="17" t="s">
        <v>10</v>
      </c>
      <c r="B16" s="39">
        <v>5142</v>
      </c>
      <c r="C16" s="39">
        <v>2384</v>
      </c>
      <c r="D16" s="38">
        <v>416</v>
      </c>
      <c r="E16" s="38">
        <v>268</v>
      </c>
      <c r="F16" s="39">
        <v>1206</v>
      </c>
      <c r="G16" s="42">
        <v>425</v>
      </c>
      <c r="H16" s="44">
        <v>9841</v>
      </c>
      <c r="I16" s="4">
        <v>36</v>
      </c>
      <c r="J16" s="18">
        <v>9877</v>
      </c>
    </row>
    <row r="17" spans="1:10" x14ac:dyDescent="0.35">
      <c r="A17" s="17" t="s">
        <v>11</v>
      </c>
      <c r="B17" s="39">
        <v>425</v>
      </c>
      <c r="C17" s="38">
        <v>113</v>
      </c>
      <c r="D17" s="38">
        <v>3</v>
      </c>
      <c r="E17" s="38">
        <v>17</v>
      </c>
      <c r="F17" s="38">
        <v>0</v>
      </c>
      <c r="G17" s="42">
        <v>0</v>
      </c>
      <c r="H17" s="46">
        <v>558</v>
      </c>
      <c r="I17" s="43">
        <v>0</v>
      </c>
      <c r="J17" s="49">
        <v>558</v>
      </c>
    </row>
    <row r="18" spans="1:10" x14ac:dyDescent="0.35">
      <c r="A18" s="17" t="s">
        <v>12</v>
      </c>
      <c r="B18" s="39">
        <v>1414</v>
      </c>
      <c r="C18" s="39">
        <v>561</v>
      </c>
      <c r="D18" s="38">
        <v>26</v>
      </c>
      <c r="E18" s="38">
        <v>48</v>
      </c>
      <c r="F18" s="38">
        <v>0</v>
      </c>
      <c r="G18" s="42">
        <v>0</v>
      </c>
      <c r="H18" s="46">
        <v>2049</v>
      </c>
      <c r="I18" s="43">
        <v>34</v>
      </c>
      <c r="J18" s="49">
        <v>2083</v>
      </c>
    </row>
    <row r="19" spans="1:10" x14ac:dyDescent="0.35">
      <c r="A19" s="17" t="s">
        <v>13</v>
      </c>
      <c r="B19" s="39">
        <v>2500</v>
      </c>
      <c r="C19" s="39">
        <v>1218</v>
      </c>
      <c r="D19" s="38">
        <v>29</v>
      </c>
      <c r="E19" s="38">
        <v>74</v>
      </c>
      <c r="F19" s="38">
        <v>0</v>
      </c>
      <c r="G19" s="42">
        <v>0</v>
      </c>
      <c r="H19" s="46">
        <v>3821</v>
      </c>
      <c r="I19" s="43">
        <v>41</v>
      </c>
      <c r="J19" s="49">
        <v>3862</v>
      </c>
    </row>
    <row r="20" spans="1:10" x14ac:dyDescent="0.35">
      <c r="A20" s="17" t="s">
        <v>14</v>
      </c>
      <c r="B20" s="39">
        <v>3009</v>
      </c>
      <c r="C20" s="39">
        <v>1182</v>
      </c>
      <c r="D20" s="38">
        <v>36</v>
      </c>
      <c r="E20" s="38">
        <v>75</v>
      </c>
      <c r="F20" s="38">
        <v>0</v>
      </c>
      <c r="G20" s="42">
        <v>0</v>
      </c>
      <c r="H20" s="47">
        <v>4302</v>
      </c>
      <c r="I20" s="43">
        <v>29</v>
      </c>
      <c r="J20" s="49">
        <v>4331</v>
      </c>
    </row>
    <row r="21" spans="1:10" x14ac:dyDescent="0.35">
      <c r="A21" s="17" t="s">
        <v>15</v>
      </c>
      <c r="B21" s="39">
        <v>1301</v>
      </c>
      <c r="C21" s="38">
        <v>467</v>
      </c>
      <c r="D21" s="38">
        <v>0</v>
      </c>
      <c r="E21" s="38">
        <v>36</v>
      </c>
      <c r="F21" s="38">
        <v>0</v>
      </c>
      <c r="G21" s="38">
        <v>0</v>
      </c>
      <c r="H21" s="44">
        <v>1804</v>
      </c>
      <c r="I21" s="4">
        <v>0</v>
      </c>
      <c r="J21" s="18">
        <v>1804</v>
      </c>
    </row>
    <row r="22" spans="1:10" x14ac:dyDescent="0.35">
      <c r="A22" s="17" t="s">
        <v>39</v>
      </c>
      <c r="B22" s="38">
        <v>0</v>
      </c>
      <c r="C22" s="38">
        <v>0</v>
      </c>
      <c r="D22" s="38">
        <v>0</v>
      </c>
      <c r="E22" s="38">
        <v>0</v>
      </c>
      <c r="F22" s="38">
        <v>5</v>
      </c>
      <c r="G22" s="42">
        <v>1</v>
      </c>
      <c r="H22" s="45">
        <v>6</v>
      </c>
      <c r="I22" s="43">
        <v>0</v>
      </c>
      <c r="J22" s="48">
        <v>6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44585</v>
      </c>
      <c r="C24" s="33">
        <f>SUM(C7:C22)</f>
        <v>38437</v>
      </c>
      <c r="D24" s="33">
        <f>SUM(D7:D22)</f>
        <v>14241</v>
      </c>
      <c r="E24" s="33">
        <f>SUM(E7:E22)</f>
        <v>4463</v>
      </c>
      <c r="F24" s="33">
        <f>SUM(F7:F22)</f>
        <v>15470</v>
      </c>
      <c r="G24" s="33">
        <f>SUM(G7:G22)</f>
        <v>13877</v>
      </c>
      <c r="H24" s="29">
        <f>SUM(H7:H22)</f>
        <v>131073</v>
      </c>
      <c r="I24" s="33">
        <f>SUM(I7:I22)</f>
        <v>1013</v>
      </c>
      <c r="J24" s="35">
        <f>SUM(J7:J22)</f>
        <v>132086</v>
      </c>
    </row>
    <row r="25" spans="1:10" x14ac:dyDescent="0.35">
      <c r="A25" s="17" t="s">
        <v>17</v>
      </c>
      <c r="B25" s="4">
        <v>1995</v>
      </c>
      <c r="C25" s="5">
        <v>1450</v>
      </c>
      <c r="D25" s="5">
        <v>342</v>
      </c>
      <c r="E25" s="5">
        <v>162</v>
      </c>
      <c r="F25" s="5">
        <v>2080</v>
      </c>
      <c r="G25" s="24">
        <v>973</v>
      </c>
      <c r="H25" s="31">
        <v>7002</v>
      </c>
      <c r="I25" s="4">
        <v>68</v>
      </c>
      <c r="J25" s="22">
        <v>7070</v>
      </c>
    </row>
    <row r="26" spans="1:10" x14ac:dyDescent="0.35">
      <c r="A26" s="17" t="s">
        <v>18</v>
      </c>
      <c r="B26" s="3">
        <v>7128</v>
      </c>
      <c r="C26" s="2">
        <v>5320</v>
      </c>
      <c r="D26" s="2">
        <v>1028</v>
      </c>
      <c r="E26" s="2">
        <v>504</v>
      </c>
      <c r="F26" s="2">
        <v>4532</v>
      </c>
      <c r="G26" s="25">
        <v>2844</v>
      </c>
      <c r="H26" s="31">
        <v>21356</v>
      </c>
      <c r="I26" s="3">
        <v>133</v>
      </c>
      <c r="J26" s="22">
        <v>21489</v>
      </c>
    </row>
    <row r="27" spans="1:10" x14ac:dyDescent="0.35">
      <c r="A27" s="17" t="s">
        <v>19</v>
      </c>
      <c r="B27" s="3">
        <v>18201</v>
      </c>
      <c r="C27" s="2">
        <v>13475</v>
      </c>
      <c r="D27" s="2">
        <v>3733</v>
      </c>
      <c r="E27" s="2">
        <v>1131</v>
      </c>
      <c r="F27" s="2">
        <v>14877</v>
      </c>
      <c r="G27" s="25">
        <v>8104</v>
      </c>
      <c r="H27" s="31">
        <v>59521</v>
      </c>
      <c r="I27" s="3">
        <v>704</v>
      </c>
      <c r="J27" s="22">
        <v>60225</v>
      </c>
    </row>
    <row r="28" spans="1:10" x14ac:dyDescent="0.35">
      <c r="A28" s="17" t="s">
        <v>20</v>
      </c>
      <c r="B28" s="3">
        <v>32362</v>
      </c>
      <c r="C28" s="2">
        <v>18789</v>
      </c>
      <c r="D28" s="2">
        <v>11684</v>
      </c>
      <c r="E28" s="2">
        <v>1861</v>
      </c>
      <c r="F28" s="2">
        <v>20189</v>
      </c>
      <c r="G28" s="25">
        <v>13231</v>
      </c>
      <c r="H28" s="31">
        <v>98116</v>
      </c>
      <c r="I28" s="3">
        <v>1569</v>
      </c>
      <c r="J28" s="22">
        <v>99685</v>
      </c>
    </row>
    <row r="29" spans="1:10" x14ac:dyDescent="0.35">
      <c r="A29" s="17" t="s">
        <v>21</v>
      </c>
      <c r="B29" s="3">
        <v>59296</v>
      </c>
      <c r="C29" s="2">
        <v>31413</v>
      </c>
      <c r="D29" s="2">
        <v>15241</v>
      </c>
      <c r="E29" s="2">
        <v>4605</v>
      </c>
      <c r="F29" s="2">
        <v>20904</v>
      </c>
      <c r="G29" s="25">
        <v>12223</v>
      </c>
      <c r="H29" s="31">
        <v>143682</v>
      </c>
      <c r="I29" s="3">
        <v>1568</v>
      </c>
      <c r="J29" s="22">
        <v>145250</v>
      </c>
    </row>
    <row r="30" spans="1:10" x14ac:dyDescent="0.35">
      <c r="A30" s="17" t="s">
        <v>22</v>
      </c>
      <c r="B30" s="3">
        <v>96316</v>
      </c>
      <c r="C30" s="2">
        <v>52680</v>
      </c>
      <c r="D30" s="2">
        <v>7562</v>
      </c>
      <c r="E30" s="2">
        <v>6241</v>
      </c>
      <c r="F30" s="2">
        <v>13365</v>
      </c>
      <c r="G30" s="25">
        <v>11537</v>
      </c>
      <c r="H30" s="31">
        <v>187701</v>
      </c>
      <c r="I30" s="3">
        <v>894</v>
      </c>
      <c r="J30" s="22">
        <v>188595</v>
      </c>
    </row>
    <row r="31" spans="1:10" x14ac:dyDescent="0.35">
      <c r="A31" s="17" t="s">
        <v>23</v>
      </c>
      <c r="B31" s="3">
        <v>35599</v>
      </c>
      <c r="C31" s="2">
        <v>15130</v>
      </c>
      <c r="D31" s="2">
        <v>3459</v>
      </c>
      <c r="E31" s="2">
        <v>14533</v>
      </c>
      <c r="F31" s="2">
        <v>11354</v>
      </c>
      <c r="G31" s="25">
        <v>4063</v>
      </c>
      <c r="H31" s="31">
        <v>84138</v>
      </c>
      <c r="I31" s="3">
        <v>108</v>
      </c>
      <c r="J31" s="22">
        <v>84246</v>
      </c>
    </row>
    <row r="32" spans="1:10" x14ac:dyDescent="0.35">
      <c r="A32" s="17" t="s">
        <v>24</v>
      </c>
      <c r="B32" s="3">
        <v>19193</v>
      </c>
      <c r="C32" s="2">
        <v>6728</v>
      </c>
      <c r="D32" s="2">
        <v>943</v>
      </c>
      <c r="E32" s="2">
        <v>3320</v>
      </c>
      <c r="F32" s="2">
        <v>1063</v>
      </c>
      <c r="G32" s="25">
        <v>795</v>
      </c>
      <c r="H32" s="31">
        <v>32042</v>
      </c>
      <c r="I32" s="3">
        <v>0</v>
      </c>
      <c r="J32" s="22">
        <v>32042</v>
      </c>
    </row>
    <row r="33" spans="1:10" x14ac:dyDescent="0.35">
      <c r="A33" s="17" t="s">
        <v>25</v>
      </c>
      <c r="B33" s="2">
        <v>16287</v>
      </c>
      <c r="C33" s="2">
        <v>7288</v>
      </c>
      <c r="D33" s="2">
        <v>698</v>
      </c>
      <c r="E33" s="2">
        <v>1174</v>
      </c>
      <c r="F33" s="2">
        <v>2532</v>
      </c>
      <c r="G33" s="25">
        <v>1422</v>
      </c>
      <c r="H33" s="31">
        <v>29401</v>
      </c>
      <c r="I33" s="3">
        <v>0</v>
      </c>
      <c r="J33" s="22">
        <v>29401</v>
      </c>
    </row>
    <row r="34" spans="1:10" x14ac:dyDescent="0.35">
      <c r="A34" s="17" t="s">
        <v>40</v>
      </c>
      <c r="B34" s="39">
        <v>0</v>
      </c>
      <c r="C34" s="39">
        <v>0</v>
      </c>
      <c r="D34" s="39">
        <v>0</v>
      </c>
      <c r="E34" s="39">
        <v>0</v>
      </c>
      <c r="F34" s="39">
        <v>40</v>
      </c>
      <c r="G34" s="39">
        <v>0</v>
      </c>
      <c r="H34" s="31">
        <v>40</v>
      </c>
      <c r="I34" s="3">
        <v>0</v>
      </c>
      <c r="J34" s="18">
        <v>40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286377</v>
      </c>
      <c r="C36" s="33">
        <f>SUM(C25:C34)</f>
        <v>152273</v>
      </c>
      <c r="D36" s="33">
        <f>SUM(D25:D34)</f>
        <v>44690</v>
      </c>
      <c r="E36" s="33">
        <f>SUM(E25:E34)</f>
        <v>33531</v>
      </c>
      <c r="F36" s="33">
        <f>SUM(F25:F34)</f>
        <v>90936</v>
      </c>
      <c r="G36" s="34">
        <f>SUM(G25:G34)</f>
        <v>55192</v>
      </c>
      <c r="H36" s="29">
        <f>SUM(H25:H34)</f>
        <v>662999</v>
      </c>
      <c r="I36" s="33">
        <f>SUM(I25:I34)</f>
        <v>5044</v>
      </c>
      <c r="J36" s="35">
        <f>SUM(J25:J34)</f>
        <v>668043</v>
      </c>
    </row>
    <row r="37" spans="1:10" ht="15.5" thickTop="1" thickBot="1" x14ac:dyDescent="0.4">
      <c r="A37" s="10" t="s">
        <v>27</v>
      </c>
      <c r="B37" s="36">
        <f>SUM(B24,B36)</f>
        <v>330962</v>
      </c>
      <c r="C37" s="36">
        <f>SUM(C24,C36)</f>
        <v>190710</v>
      </c>
      <c r="D37" s="36">
        <f>SUM(D24,D36)</f>
        <v>58931</v>
      </c>
      <c r="E37" s="36">
        <f>SUM(E24,E36)</f>
        <v>37994</v>
      </c>
      <c r="F37" s="36">
        <f>SUM(F24,F36)</f>
        <v>106406</v>
      </c>
      <c r="G37" s="37">
        <f>SUM(G24,G36)</f>
        <v>69069</v>
      </c>
      <c r="H37" s="40">
        <f>SUM(H24,H36)</f>
        <v>794072</v>
      </c>
      <c r="I37" s="36">
        <f>SUM(I24,I36)</f>
        <v>6057</v>
      </c>
      <c r="J37" s="41">
        <f>SUM(J24,J36)</f>
        <v>800129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45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41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0</v>
      </c>
      <c r="F8" s="38">
        <v>4</v>
      </c>
      <c r="G8" s="38">
        <v>0</v>
      </c>
      <c r="H8" s="31">
        <v>6</v>
      </c>
      <c r="I8" s="4">
        <v>0</v>
      </c>
      <c r="J8" s="18">
        <v>6</v>
      </c>
    </row>
    <row r="9" spans="1:10" x14ac:dyDescent="0.35">
      <c r="A9" s="17" t="s">
        <v>3</v>
      </c>
      <c r="B9" s="38">
        <v>72</v>
      </c>
      <c r="C9" s="38">
        <v>39</v>
      </c>
      <c r="D9" s="38">
        <v>17</v>
      </c>
      <c r="E9" s="38">
        <v>6</v>
      </c>
      <c r="F9" s="38">
        <v>40</v>
      </c>
      <c r="G9" s="38">
        <v>27</v>
      </c>
      <c r="H9" s="31">
        <v>201</v>
      </c>
      <c r="I9" s="4">
        <v>1</v>
      </c>
      <c r="J9" s="18">
        <v>202</v>
      </c>
    </row>
    <row r="10" spans="1:10" x14ac:dyDescent="0.35">
      <c r="A10" s="17" t="s">
        <v>4</v>
      </c>
      <c r="B10" s="38">
        <v>171</v>
      </c>
      <c r="C10" s="38">
        <v>87</v>
      </c>
      <c r="D10" s="38">
        <v>35</v>
      </c>
      <c r="E10" s="38">
        <v>6</v>
      </c>
      <c r="F10" s="38">
        <v>138</v>
      </c>
      <c r="G10" s="38">
        <v>54</v>
      </c>
      <c r="H10" s="31">
        <v>491</v>
      </c>
      <c r="I10" s="4">
        <v>1</v>
      </c>
      <c r="J10" s="18">
        <v>492</v>
      </c>
    </row>
    <row r="11" spans="1:10" x14ac:dyDescent="0.35">
      <c r="A11" s="17" t="s">
        <v>5</v>
      </c>
      <c r="B11" s="39">
        <v>1331</v>
      </c>
      <c r="C11" s="39">
        <v>1832</v>
      </c>
      <c r="D11" s="39">
        <v>1201</v>
      </c>
      <c r="E11" s="38">
        <v>278</v>
      </c>
      <c r="F11" s="39">
        <v>1004</v>
      </c>
      <c r="G11" s="39">
        <v>1008</v>
      </c>
      <c r="H11" s="31">
        <v>6654</v>
      </c>
      <c r="I11" s="4">
        <v>35</v>
      </c>
      <c r="J11" s="18">
        <v>6689</v>
      </c>
    </row>
    <row r="12" spans="1:10" x14ac:dyDescent="0.35">
      <c r="A12" s="17" t="s">
        <v>6</v>
      </c>
      <c r="B12" s="39">
        <v>3529</v>
      </c>
      <c r="C12" s="39">
        <v>4828</v>
      </c>
      <c r="D12" s="39">
        <v>3267</v>
      </c>
      <c r="E12" s="38">
        <v>667</v>
      </c>
      <c r="F12" s="39">
        <v>4231</v>
      </c>
      <c r="G12" s="39">
        <v>3981</v>
      </c>
      <c r="H12" s="31">
        <v>20503</v>
      </c>
      <c r="I12" s="4">
        <v>147</v>
      </c>
      <c r="J12" s="18">
        <v>20650</v>
      </c>
    </row>
    <row r="13" spans="1:10" x14ac:dyDescent="0.35">
      <c r="A13" s="17" t="s">
        <v>7</v>
      </c>
      <c r="B13" s="39">
        <v>7079</v>
      </c>
      <c r="C13" s="39">
        <v>9377</v>
      </c>
      <c r="D13" s="39">
        <v>5069</v>
      </c>
      <c r="E13" s="39">
        <v>1679</v>
      </c>
      <c r="F13" s="39">
        <v>4189</v>
      </c>
      <c r="G13" s="39">
        <v>4952</v>
      </c>
      <c r="H13" s="31">
        <v>32345</v>
      </c>
      <c r="I13" s="4">
        <v>297</v>
      </c>
      <c r="J13" s="18">
        <v>32642</v>
      </c>
    </row>
    <row r="14" spans="1:10" x14ac:dyDescent="0.35">
      <c r="A14" s="17" t="s">
        <v>8</v>
      </c>
      <c r="B14" s="39">
        <v>10647</v>
      </c>
      <c r="C14" s="39">
        <v>11005</v>
      </c>
      <c r="D14" s="39">
        <v>3541</v>
      </c>
      <c r="E14" s="39">
        <v>966</v>
      </c>
      <c r="F14" s="39">
        <v>3564</v>
      </c>
      <c r="G14" s="39">
        <v>2869</v>
      </c>
      <c r="H14" s="31">
        <v>32592</v>
      </c>
      <c r="I14" s="4">
        <v>298</v>
      </c>
      <c r="J14" s="18">
        <v>32890</v>
      </c>
    </row>
    <row r="15" spans="1:10" x14ac:dyDescent="0.35">
      <c r="A15" s="17" t="s">
        <v>9</v>
      </c>
      <c r="B15" s="39">
        <v>7823</v>
      </c>
      <c r="C15" s="39">
        <v>5311</v>
      </c>
      <c r="D15" s="38">
        <v>575</v>
      </c>
      <c r="E15" s="38">
        <v>312</v>
      </c>
      <c r="F15" s="39">
        <v>1165</v>
      </c>
      <c r="G15" s="38">
        <v>520</v>
      </c>
      <c r="H15" s="31">
        <v>15706</v>
      </c>
      <c r="I15" s="4">
        <v>86</v>
      </c>
      <c r="J15" s="18">
        <v>15792</v>
      </c>
    </row>
    <row r="16" spans="1:10" x14ac:dyDescent="0.35">
      <c r="A16" s="17" t="s">
        <v>10</v>
      </c>
      <c r="B16" s="39">
        <v>5412</v>
      </c>
      <c r="C16" s="39">
        <v>2401</v>
      </c>
      <c r="D16" s="38">
        <v>443</v>
      </c>
      <c r="E16" s="38">
        <v>266</v>
      </c>
      <c r="F16" s="39">
        <v>1163</v>
      </c>
      <c r="G16" s="42">
        <v>463</v>
      </c>
      <c r="H16" s="44">
        <v>10148</v>
      </c>
      <c r="I16" s="4">
        <v>35</v>
      </c>
      <c r="J16" s="18">
        <v>10183</v>
      </c>
    </row>
    <row r="17" spans="1:10" x14ac:dyDescent="0.35">
      <c r="A17" s="17" t="s">
        <v>11</v>
      </c>
      <c r="B17" s="39">
        <v>419</v>
      </c>
      <c r="C17" s="38">
        <v>114</v>
      </c>
      <c r="D17" s="38">
        <v>3</v>
      </c>
      <c r="E17" s="38">
        <v>19</v>
      </c>
      <c r="F17" s="38">
        <v>0</v>
      </c>
      <c r="G17" s="42">
        <v>0</v>
      </c>
      <c r="H17" s="46">
        <v>555</v>
      </c>
      <c r="I17" s="43">
        <v>0</v>
      </c>
      <c r="J17" s="49">
        <v>555</v>
      </c>
    </row>
    <row r="18" spans="1:10" x14ac:dyDescent="0.35">
      <c r="A18" s="17" t="s">
        <v>12</v>
      </c>
      <c r="B18" s="39">
        <v>1399</v>
      </c>
      <c r="C18" s="39">
        <v>562</v>
      </c>
      <c r="D18" s="38">
        <v>26</v>
      </c>
      <c r="E18" s="38">
        <v>45</v>
      </c>
      <c r="F18" s="38">
        <v>0</v>
      </c>
      <c r="G18" s="42">
        <v>0</v>
      </c>
      <c r="H18" s="46">
        <v>2032</v>
      </c>
      <c r="I18" s="43">
        <v>33</v>
      </c>
      <c r="J18" s="49">
        <v>2065</v>
      </c>
    </row>
    <row r="19" spans="1:10" x14ac:dyDescent="0.35">
      <c r="A19" s="17" t="s">
        <v>13</v>
      </c>
      <c r="B19" s="39">
        <v>2500</v>
      </c>
      <c r="C19" s="39">
        <v>1241</v>
      </c>
      <c r="D19" s="38">
        <v>29</v>
      </c>
      <c r="E19" s="38">
        <v>74</v>
      </c>
      <c r="F19" s="38">
        <v>0</v>
      </c>
      <c r="G19" s="42">
        <v>0</v>
      </c>
      <c r="H19" s="46">
        <v>3844</v>
      </c>
      <c r="I19" s="43">
        <v>41</v>
      </c>
      <c r="J19" s="49">
        <v>3885</v>
      </c>
    </row>
    <row r="20" spans="1:10" x14ac:dyDescent="0.35">
      <c r="A20" s="17" t="s">
        <v>14</v>
      </c>
      <c r="B20" s="39">
        <v>2995</v>
      </c>
      <c r="C20" s="39">
        <v>1163</v>
      </c>
      <c r="D20" s="38">
        <v>36</v>
      </c>
      <c r="E20" s="38">
        <v>75</v>
      </c>
      <c r="F20" s="38">
        <v>0</v>
      </c>
      <c r="G20" s="42">
        <v>0</v>
      </c>
      <c r="H20" s="47">
        <v>4269</v>
      </c>
      <c r="I20" s="43">
        <v>29</v>
      </c>
      <c r="J20" s="49">
        <v>4298</v>
      </c>
    </row>
    <row r="21" spans="1:10" x14ac:dyDescent="0.35">
      <c r="A21" s="17" t="s">
        <v>15</v>
      </c>
      <c r="B21" s="39">
        <v>1328</v>
      </c>
      <c r="C21" s="38">
        <v>457</v>
      </c>
      <c r="D21" s="38">
        <v>0</v>
      </c>
      <c r="E21" s="38">
        <v>36</v>
      </c>
      <c r="F21" s="38">
        <v>0</v>
      </c>
      <c r="G21" s="38">
        <v>0</v>
      </c>
      <c r="H21" s="44">
        <v>1821</v>
      </c>
      <c r="I21" s="4">
        <v>0</v>
      </c>
      <c r="J21" s="18">
        <v>1821</v>
      </c>
    </row>
    <row r="22" spans="1:10" x14ac:dyDescent="0.35">
      <c r="A22" s="17" t="s">
        <v>39</v>
      </c>
      <c r="B22" s="38">
        <v>1</v>
      </c>
      <c r="C22" s="38">
        <v>0</v>
      </c>
      <c r="D22" s="38">
        <v>0</v>
      </c>
      <c r="E22" s="38">
        <v>0</v>
      </c>
      <c r="F22" s="38">
        <v>0</v>
      </c>
      <c r="G22" s="42">
        <v>0</v>
      </c>
      <c r="H22" s="45">
        <v>1</v>
      </c>
      <c r="I22" s="43">
        <v>0</v>
      </c>
      <c r="J22" s="48">
        <v>1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44708</v>
      </c>
      <c r="C24" s="33">
        <f>SUM(C7:C22)</f>
        <v>38417</v>
      </c>
      <c r="D24" s="33">
        <f>SUM(D7:D22)</f>
        <v>14242</v>
      </c>
      <c r="E24" s="33">
        <f>SUM(E7:E22)</f>
        <v>4429</v>
      </c>
      <c r="F24" s="33">
        <f>SUM(F7:F22)</f>
        <v>15499</v>
      </c>
      <c r="G24" s="33">
        <f>SUM(G7:G22)</f>
        <v>13874</v>
      </c>
      <c r="H24" s="29">
        <f>SUM(H7:H22)</f>
        <v>131169</v>
      </c>
      <c r="I24" s="33">
        <f>SUM(I7:I22)</f>
        <v>1003</v>
      </c>
      <c r="J24" s="35">
        <f>SUM(J7:J22)</f>
        <v>132172</v>
      </c>
    </row>
    <row r="25" spans="1:10" x14ac:dyDescent="0.35">
      <c r="A25" s="17" t="s">
        <v>17</v>
      </c>
      <c r="B25" s="4">
        <v>1992</v>
      </c>
      <c r="C25" s="5">
        <v>1444</v>
      </c>
      <c r="D25" s="5">
        <v>359</v>
      </c>
      <c r="E25" s="5">
        <v>164</v>
      </c>
      <c r="F25" s="5">
        <v>2069</v>
      </c>
      <c r="G25" s="24">
        <v>991</v>
      </c>
      <c r="H25" s="31">
        <v>7019</v>
      </c>
      <c r="I25" s="4">
        <v>68</v>
      </c>
      <c r="J25" s="22">
        <v>7087</v>
      </c>
    </row>
    <row r="26" spans="1:10" x14ac:dyDescent="0.35">
      <c r="A26" s="17" t="s">
        <v>18</v>
      </c>
      <c r="B26" s="3">
        <v>7120</v>
      </c>
      <c r="C26" s="2">
        <v>5296</v>
      </c>
      <c r="D26" s="2">
        <v>1041</v>
      </c>
      <c r="E26" s="2">
        <v>501</v>
      </c>
      <c r="F26" s="2">
        <v>4552</v>
      </c>
      <c r="G26" s="25">
        <v>2834</v>
      </c>
      <c r="H26" s="31">
        <v>21344</v>
      </c>
      <c r="I26" s="3">
        <v>133</v>
      </c>
      <c r="J26" s="22">
        <v>21477</v>
      </c>
    </row>
    <row r="27" spans="1:10" x14ac:dyDescent="0.35">
      <c r="A27" s="17" t="s">
        <v>19</v>
      </c>
      <c r="B27" s="3">
        <v>18300</v>
      </c>
      <c r="C27" s="2">
        <v>13387</v>
      </c>
      <c r="D27" s="2">
        <v>3711</v>
      </c>
      <c r="E27" s="2">
        <v>1129</v>
      </c>
      <c r="F27" s="2">
        <v>14773</v>
      </c>
      <c r="G27" s="25">
        <v>8091</v>
      </c>
      <c r="H27" s="31">
        <v>59391</v>
      </c>
      <c r="I27" s="3">
        <v>705</v>
      </c>
      <c r="J27" s="22">
        <v>60096</v>
      </c>
    </row>
    <row r="28" spans="1:10" x14ac:dyDescent="0.35">
      <c r="A28" s="17" t="s">
        <v>20</v>
      </c>
      <c r="B28" s="3">
        <v>32507</v>
      </c>
      <c r="C28" s="2">
        <v>18671</v>
      </c>
      <c r="D28" s="2">
        <v>11934</v>
      </c>
      <c r="E28" s="2">
        <v>1871</v>
      </c>
      <c r="F28" s="2">
        <v>20235</v>
      </c>
      <c r="G28" s="25">
        <v>13265</v>
      </c>
      <c r="H28" s="31">
        <v>98483</v>
      </c>
      <c r="I28" s="3">
        <v>1583</v>
      </c>
      <c r="J28" s="22">
        <v>100066</v>
      </c>
    </row>
    <row r="29" spans="1:10" x14ac:dyDescent="0.35">
      <c r="A29" s="17" t="s">
        <v>21</v>
      </c>
      <c r="B29" s="3">
        <v>59110</v>
      </c>
      <c r="C29" s="2">
        <v>31754</v>
      </c>
      <c r="D29" s="2">
        <v>15306</v>
      </c>
      <c r="E29" s="2">
        <v>4467</v>
      </c>
      <c r="F29" s="2">
        <v>20840</v>
      </c>
      <c r="G29" s="25">
        <v>12165</v>
      </c>
      <c r="H29" s="31">
        <v>143642</v>
      </c>
      <c r="I29" s="3">
        <v>1582</v>
      </c>
      <c r="J29" s="22">
        <v>145224</v>
      </c>
    </row>
    <row r="30" spans="1:10" x14ac:dyDescent="0.35">
      <c r="A30" s="17" t="s">
        <v>22</v>
      </c>
      <c r="B30" s="3">
        <v>95997</v>
      </c>
      <c r="C30" s="2">
        <v>52551</v>
      </c>
      <c r="D30" s="2">
        <v>7578</v>
      </c>
      <c r="E30" s="2">
        <v>6120</v>
      </c>
      <c r="F30" s="2">
        <v>13304</v>
      </c>
      <c r="G30" s="25">
        <v>11535</v>
      </c>
      <c r="H30" s="31">
        <v>187085</v>
      </c>
      <c r="I30" s="3">
        <v>893</v>
      </c>
      <c r="J30" s="22">
        <v>187978</v>
      </c>
    </row>
    <row r="31" spans="1:10" x14ac:dyDescent="0.35">
      <c r="A31" s="17" t="s">
        <v>23</v>
      </c>
      <c r="B31" s="3">
        <v>35845</v>
      </c>
      <c r="C31" s="2">
        <v>15215</v>
      </c>
      <c r="D31" s="2">
        <v>3395</v>
      </c>
      <c r="E31" s="2">
        <v>14545</v>
      </c>
      <c r="F31" s="2">
        <v>11661</v>
      </c>
      <c r="G31" s="25">
        <v>4061</v>
      </c>
      <c r="H31" s="31">
        <v>84722</v>
      </c>
      <c r="I31" s="3">
        <v>135</v>
      </c>
      <c r="J31" s="22">
        <v>84857</v>
      </c>
    </row>
    <row r="32" spans="1:10" x14ac:dyDescent="0.35">
      <c r="A32" s="17" t="s">
        <v>24</v>
      </c>
      <c r="B32" s="3">
        <v>19424</v>
      </c>
      <c r="C32" s="2">
        <v>6358</v>
      </c>
      <c r="D32" s="2">
        <v>953</v>
      </c>
      <c r="E32" s="2">
        <v>3548</v>
      </c>
      <c r="F32" s="2">
        <v>1061</v>
      </c>
      <c r="G32" s="25">
        <v>801</v>
      </c>
      <c r="H32" s="31">
        <v>32145</v>
      </c>
      <c r="I32" s="3">
        <v>0</v>
      </c>
      <c r="J32" s="22">
        <v>32145</v>
      </c>
    </row>
    <row r="33" spans="1:10" x14ac:dyDescent="0.35">
      <c r="A33" s="17" t="s">
        <v>25</v>
      </c>
      <c r="B33" s="2">
        <v>16091</v>
      </c>
      <c r="C33" s="2">
        <v>7771</v>
      </c>
      <c r="D33" s="2">
        <v>702</v>
      </c>
      <c r="E33" s="2">
        <v>1446</v>
      </c>
      <c r="F33" s="2">
        <v>2290</v>
      </c>
      <c r="G33" s="25">
        <v>1416</v>
      </c>
      <c r="H33" s="31">
        <v>29716</v>
      </c>
      <c r="I33" s="3">
        <v>0</v>
      </c>
      <c r="J33" s="22">
        <v>29716</v>
      </c>
    </row>
    <row r="34" spans="1:10" x14ac:dyDescent="0.35">
      <c r="A34" s="17" t="s">
        <v>40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1">
        <v>0</v>
      </c>
      <c r="I34" s="3">
        <v>0</v>
      </c>
      <c r="J34" s="18">
        <v>0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286386</v>
      </c>
      <c r="C36" s="33">
        <f>SUM(C25:C34)</f>
        <v>152447</v>
      </c>
      <c r="D36" s="33">
        <f>SUM(D25:D34)</f>
        <v>44979</v>
      </c>
      <c r="E36" s="33">
        <f>SUM(E25:E34)</f>
        <v>33791</v>
      </c>
      <c r="F36" s="33">
        <f>SUM(F25:F34)</f>
        <v>90785</v>
      </c>
      <c r="G36" s="34">
        <f>SUM(G25:G34)</f>
        <v>55159</v>
      </c>
      <c r="H36" s="29">
        <f>SUM(H25:H34)</f>
        <v>663547</v>
      </c>
      <c r="I36" s="33">
        <f>SUM(I25:I34)</f>
        <v>5099</v>
      </c>
      <c r="J36" s="35">
        <f>SUM(J25:J34)</f>
        <v>668646</v>
      </c>
    </row>
    <row r="37" spans="1:10" ht="15.5" thickTop="1" thickBot="1" x14ac:dyDescent="0.4">
      <c r="A37" s="10" t="s">
        <v>27</v>
      </c>
      <c r="B37" s="36">
        <f>SUM(B24,B36)</f>
        <v>331094</v>
      </c>
      <c r="C37" s="36">
        <f>SUM(C24,C36)</f>
        <v>190864</v>
      </c>
      <c r="D37" s="36">
        <f>SUM(D24,D36)</f>
        <v>59221</v>
      </c>
      <c r="E37" s="36">
        <f>SUM(E24,E36)</f>
        <v>38220</v>
      </c>
      <c r="F37" s="36">
        <f>SUM(F24,F36)</f>
        <v>106284</v>
      </c>
      <c r="G37" s="37">
        <f>SUM(G24,G36)</f>
        <v>69033</v>
      </c>
      <c r="H37" s="40">
        <f>SUM(H24,H36)</f>
        <v>794716</v>
      </c>
      <c r="I37" s="36">
        <f>SUM(I24,I36)</f>
        <v>6102</v>
      </c>
      <c r="J37" s="41">
        <f>SUM(J24,J36)</f>
        <v>800818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44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41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0</v>
      </c>
      <c r="F8" s="38">
        <v>4</v>
      </c>
      <c r="G8" s="38">
        <v>0</v>
      </c>
      <c r="H8" s="31">
        <v>6</v>
      </c>
      <c r="I8" s="4">
        <v>0</v>
      </c>
      <c r="J8" s="18">
        <v>6</v>
      </c>
    </row>
    <row r="9" spans="1:10" x14ac:dyDescent="0.35">
      <c r="A9" s="17" t="s">
        <v>3</v>
      </c>
      <c r="B9" s="38">
        <v>75</v>
      </c>
      <c r="C9" s="38">
        <v>40</v>
      </c>
      <c r="D9" s="38">
        <v>17</v>
      </c>
      <c r="E9" s="38">
        <v>5</v>
      </c>
      <c r="F9" s="38">
        <v>41</v>
      </c>
      <c r="G9" s="38">
        <v>28</v>
      </c>
      <c r="H9" s="31">
        <v>206</v>
      </c>
      <c r="I9" s="4">
        <v>1</v>
      </c>
      <c r="J9" s="18">
        <v>207</v>
      </c>
    </row>
    <row r="10" spans="1:10" x14ac:dyDescent="0.35">
      <c r="A10" s="17" t="s">
        <v>4</v>
      </c>
      <c r="B10" s="38">
        <v>166</v>
      </c>
      <c r="C10" s="38">
        <v>86</v>
      </c>
      <c r="D10" s="38">
        <v>35</v>
      </c>
      <c r="E10" s="38">
        <v>6</v>
      </c>
      <c r="F10" s="38">
        <v>138</v>
      </c>
      <c r="G10" s="38">
        <v>54</v>
      </c>
      <c r="H10" s="31">
        <v>485</v>
      </c>
      <c r="I10" s="4">
        <v>1</v>
      </c>
      <c r="J10" s="18">
        <v>486</v>
      </c>
    </row>
    <row r="11" spans="1:10" x14ac:dyDescent="0.35">
      <c r="A11" s="17" t="s">
        <v>5</v>
      </c>
      <c r="B11" s="39">
        <v>1328</v>
      </c>
      <c r="C11" s="39">
        <v>1823</v>
      </c>
      <c r="D11" s="39">
        <v>1224</v>
      </c>
      <c r="E11" s="38">
        <v>271</v>
      </c>
      <c r="F11" s="39">
        <v>987</v>
      </c>
      <c r="G11" s="39">
        <v>1016</v>
      </c>
      <c r="H11" s="31">
        <v>6649</v>
      </c>
      <c r="I11" s="4">
        <v>37</v>
      </c>
      <c r="J11" s="18">
        <v>6686</v>
      </c>
    </row>
    <row r="12" spans="1:10" x14ac:dyDescent="0.35">
      <c r="A12" s="17" t="s">
        <v>6</v>
      </c>
      <c r="B12" s="39">
        <v>3564</v>
      </c>
      <c r="C12" s="39">
        <v>4965</v>
      </c>
      <c r="D12" s="39">
        <v>3309</v>
      </c>
      <c r="E12" s="38">
        <v>675</v>
      </c>
      <c r="F12" s="39">
        <v>4247</v>
      </c>
      <c r="G12" s="39">
        <v>3934</v>
      </c>
      <c r="H12" s="31">
        <v>20694</v>
      </c>
      <c r="I12" s="4">
        <v>135</v>
      </c>
      <c r="J12" s="18">
        <v>20829</v>
      </c>
    </row>
    <row r="13" spans="1:10" x14ac:dyDescent="0.35">
      <c r="A13" s="17" t="s">
        <v>7</v>
      </c>
      <c r="B13" s="39">
        <v>7061</v>
      </c>
      <c r="C13" s="39">
        <v>9206</v>
      </c>
      <c r="D13" s="39">
        <v>5107</v>
      </c>
      <c r="E13" s="39">
        <v>1676</v>
      </c>
      <c r="F13" s="39">
        <v>4218</v>
      </c>
      <c r="G13" s="39">
        <v>5034</v>
      </c>
      <c r="H13" s="31">
        <v>32302</v>
      </c>
      <c r="I13" s="4">
        <v>295</v>
      </c>
      <c r="J13" s="18">
        <v>32597</v>
      </c>
    </row>
    <row r="14" spans="1:10" x14ac:dyDescent="0.35">
      <c r="A14" s="17" t="s">
        <v>8</v>
      </c>
      <c r="B14" s="39">
        <v>10709</v>
      </c>
      <c r="C14" s="39">
        <v>11053</v>
      </c>
      <c r="D14" s="39">
        <v>3484</v>
      </c>
      <c r="E14" s="39">
        <v>1014</v>
      </c>
      <c r="F14" s="39">
        <v>3537</v>
      </c>
      <c r="G14" s="39">
        <v>2848</v>
      </c>
      <c r="H14" s="31">
        <v>32645</v>
      </c>
      <c r="I14" s="4">
        <v>308</v>
      </c>
      <c r="J14" s="18">
        <v>32953</v>
      </c>
    </row>
    <row r="15" spans="1:10" x14ac:dyDescent="0.35">
      <c r="A15" s="17" t="s">
        <v>9</v>
      </c>
      <c r="B15" s="39">
        <v>7656</v>
      </c>
      <c r="C15" s="39">
        <v>5332</v>
      </c>
      <c r="D15" s="38">
        <v>574</v>
      </c>
      <c r="E15" s="38">
        <v>285</v>
      </c>
      <c r="F15" s="39">
        <v>1152</v>
      </c>
      <c r="G15" s="38">
        <v>528</v>
      </c>
      <c r="H15" s="31">
        <v>15527</v>
      </c>
      <c r="I15" s="4">
        <v>70</v>
      </c>
      <c r="J15" s="18">
        <v>15597</v>
      </c>
    </row>
    <row r="16" spans="1:10" x14ac:dyDescent="0.35">
      <c r="A16" s="17" t="s">
        <v>10</v>
      </c>
      <c r="B16" s="39">
        <v>5742</v>
      </c>
      <c r="C16" s="39">
        <v>2385</v>
      </c>
      <c r="D16" s="38">
        <v>466</v>
      </c>
      <c r="E16" s="38">
        <v>267</v>
      </c>
      <c r="F16" s="39">
        <v>1190</v>
      </c>
      <c r="G16" s="42">
        <v>455</v>
      </c>
      <c r="H16" s="44">
        <v>10505</v>
      </c>
      <c r="I16" s="4">
        <v>70</v>
      </c>
      <c r="J16" s="18">
        <v>10575</v>
      </c>
    </row>
    <row r="17" spans="1:10" x14ac:dyDescent="0.35">
      <c r="A17" s="17" t="s">
        <v>11</v>
      </c>
      <c r="B17" s="39">
        <v>435</v>
      </c>
      <c r="C17" s="38">
        <v>111</v>
      </c>
      <c r="D17" s="38">
        <v>4</v>
      </c>
      <c r="E17" s="38">
        <v>19</v>
      </c>
      <c r="F17" s="38">
        <v>0</v>
      </c>
      <c r="G17" s="42">
        <v>0</v>
      </c>
      <c r="H17" s="46">
        <v>569</v>
      </c>
      <c r="I17" s="43">
        <v>0</v>
      </c>
      <c r="J17" s="49">
        <v>569</v>
      </c>
    </row>
    <row r="18" spans="1:10" x14ac:dyDescent="0.35">
      <c r="A18" s="17" t="s">
        <v>12</v>
      </c>
      <c r="B18" s="39">
        <v>1440</v>
      </c>
      <c r="C18" s="39">
        <v>561</v>
      </c>
      <c r="D18" s="38">
        <v>25</v>
      </c>
      <c r="E18" s="38">
        <v>45</v>
      </c>
      <c r="F18" s="38">
        <v>0</v>
      </c>
      <c r="G18" s="42">
        <v>0</v>
      </c>
      <c r="H18" s="46">
        <v>2071</v>
      </c>
      <c r="I18" s="43">
        <v>33</v>
      </c>
      <c r="J18" s="49">
        <v>2104</v>
      </c>
    </row>
    <row r="19" spans="1:10" x14ac:dyDescent="0.35">
      <c r="A19" s="17" t="s">
        <v>13</v>
      </c>
      <c r="B19" s="39">
        <v>2523</v>
      </c>
      <c r="C19" s="39">
        <v>1253</v>
      </c>
      <c r="D19" s="38">
        <v>29</v>
      </c>
      <c r="E19" s="38">
        <v>74</v>
      </c>
      <c r="F19" s="38">
        <v>0</v>
      </c>
      <c r="G19" s="42">
        <v>0</v>
      </c>
      <c r="H19" s="46">
        <v>3879</v>
      </c>
      <c r="I19" s="43">
        <v>41</v>
      </c>
      <c r="J19" s="49">
        <v>3920</v>
      </c>
    </row>
    <row r="20" spans="1:10" x14ac:dyDescent="0.35">
      <c r="A20" s="17" t="s">
        <v>14</v>
      </c>
      <c r="B20" s="39">
        <v>2887</v>
      </c>
      <c r="C20" s="39">
        <v>1155</v>
      </c>
      <c r="D20" s="38">
        <v>36</v>
      </c>
      <c r="E20" s="38">
        <v>75</v>
      </c>
      <c r="F20" s="38">
        <v>0</v>
      </c>
      <c r="G20" s="42">
        <v>0</v>
      </c>
      <c r="H20" s="47">
        <v>4153</v>
      </c>
      <c r="I20" s="43">
        <v>29</v>
      </c>
      <c r="J20" s="49">
        <v>4182</v>
      </c>
    </row>
    <row r="21" spans="1:10" x14ac:dyDescent="0.35">
      <c r="A21" s="17" t="s">
        <v>15</v>
      </c>
      <c r="B21" s="39">
        <v>1381</v>
      </c>
      <c r="C21" s="38">
        <v>470</v>
      </c>
      <c r="D21" s="38">
        <v>0</v>
      </c>
      <c r="E21" s="38">
        <v>36</v>
      </c>
      <c r="F21" s="38">
        <v>0</v>
      </c>
      <c r="G21" s="38">
        <v>0</v>
      </c>
      <c r="H21" s="44">
        <v>1887</v>
      </c>
      <c r="I21" s="4">
        <v>0</v>
      </c>
      <c r="J21" s="18">
        <v>1887</v>
      </c>
    </row>
    <row r="22" spans="1:10" x14ac:dyDescent="0.35">
      <c r="A22" s="17" t="s">
        <v>39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42">
        <v>0</v>
      </c>
      <c r="H22" s="45">
        <v>0</v>
      </c>
      <c r="I22" s="43">
        <v>0</v>
      </c>
      <c r="J22" s="48">
        <v>0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44969</v>
      </c>
      <c r="C24" s="33">
        <f>SUM(C7:C22)</f>
        <v>38440</v>
      </c>
      <c r="D24" s="33">
        <f>SUM(D7:D22)</f>
        <v>14310</v>
      </c>
      <c r="E24" s="33">
        <f>SUM(E7:E22)</f>
        <v>4448</v>
      </c>
      <c r="F24" s="33">
        <f>SUM(F7:F22)</f>
        <v>15515</v>
      </c>
      <c r="G24" s="33">
        <f>SUM(G7:G22)</f>
        <v>13897</v>
      </c>
      <c r="H24" s="29">
        <f>SUM(H7:H22)</f>
        <v>131579</v>
      </c>
      <c r="I24" s="33">
        <f>SUM(I7:I22)</f>
        <v>1020</v>
      </c>
      <c r="J24" s="35">
        <f>SUM(J7:J22)</f>
        <v>132599</v>
      </c>
    </row>
    <row r="25" spans="1:10" x14ac:dyDescent="0.35">
      <c r="A25" s="17" t="s">
        <v>17</v>
      </c>
      <c r="B25" s="4">
        <v>1987</v>
      </c>
      <c r="C25" s="5">
        <v>1452</v>
      </c>
      <c r="D25" s="5">
        <v>361</v>
      </c>
      <c r="E25" s="5">
        <v>164</v>
      </c>
      <c r="F25" s="5">
        <v>2073</v>
      </c>
      <c r="G25" s="24">
        <v>1008</v>
      </c>
      <c r="H25" s="31">
        <v>7045</v>
      </c>
      <c r="I25" s="4">
        <v>68</v>
      </c>
      <c r="J25" s="22">
        <v>7113</v>
      </c>
    </row>
    <row r="26" spans="1:10" x14ac:dyDescent="0.35">
      <c r="A26" s="17" t="s">
        <v>18</v>
      </c>
      <c r="B26" s="3">
        <v>7105</v>
      </c>
      <c r="C26" s="2">
        <v>5215</v>
      </c>
      <c r="D26" s="2">
        <v>1046</v>
      </c>
      <c r="E26" s="2">
        <v>491</v>
      </c>
      <c r="F26" s="2">
        <v>4550</v>
      </c>
      <c r="G26" s="25">
        <v>2810</v>
      </c>
      <c r="H26" s="31">
        <v>21217</v>
      </c>
      <c r="I26" s="3">
        <v>132</v>
      </c>
      <c r="J26" s="22">
        <v>21349</v>
      </c>
    </row>
    <row r="27" spans="1:10" x14ac:dyDescent="0.35">
      <c r="A27" s="17" t="s">
        <v>19</v>
      </c>
      <c r="B27" s="3">
        <v>18387</v>
      </c>
      <c r="C27" s="2">
        <v>13615</v>
      </c>
      <c r="D27" s="2">
        <v>3708</v>
      </c>
      <c r="E27" s="2">
        <v>1142</v>
      </c>
      <c r="F27" s="2">
        <v>14761</v>
      </c>
      <c r="G27" s="25">
        <v>8111</v>
      </c>
      <c r="H27" s="31">
        <v>59724</v>
      </c>
      <c r="I27" s="3">
        <v>706</v>
      </c>
      <c r="J27" s="22">
        <v>60430</v>
      </c>
    </row>
    <row r="28" spans="1:10" x14ac:dyDescent="0.35">
      <c r="A28" s="17" t="s">
        <v>20</v>
      </c>
      <c r="B28" s="3">
        <v>32584</v>
      </c>
      <c r="C28" s="2">
        <v>18644</v>
      </c>
      <c r="D28" s="2">
        <v>12032</v>
      </c>
      <c r="E28" s="2">
        <v>1901</v>
      </c>
      <c r="F28" s="2">
        <v>20307</v>
      </c>
      <c r="G28" s="25">
        <v>13314</v>
      </c>
      <c r="H28" s="31">
        <v>98782</v>
      </c>
      <c r="I28" s="3">
        <v>1586</v>
      </c>
      <c r="J28" s="22">
        <v>100368</v>
      </c>
    </row>
    <row r="29" spans="1:10" x14ac:dyDescent="0.35">
      <c r="A29" s="17" t="s">
        <v>21</v>
      </c>
      <c r="B29" s="3">
        <v>58946</v>
      </c>
      <c r="C29" s="2">
        <v>31203</v>
      </c>
      <c r="D29" s="2">
        <v>15362</v>
      </c>
      <c r="E29" s="2">
        <v>4940</v>
      </c>
      <c r="F29" s="2">
        <v>20854</v>
      </c>
      <c r="G29" s="25">
        <v>12152</v>
      </c>
      <c r="H29" s="31">
        <v>143457</v>
      </c>
      <c r="I29" s="3">
        <v>1580</v>
      </c>
      <c r="J29" s="22">
        <v>145037</v>
      </c>
    </row>
    <row r="30" spans="1:10" x14ac:dyDescent="0.35">
      <c r="A30" s="17" t="s">
        <v>22</v>
      </c>
      <c r="B30" s="3">
        <v>96359</v>
      </c>
      <c r="C30" s="2">
        <v>52853</v>
      </c>
      <c r="D30" s="2">
        <v>7574</v>
      </c>
      <c r="E30" s="2">
        <v>6474</v>
      </c>
      <c r="F30" s="2">
        <v>13263</v>
      </c>
      <c r="G30" s="25">
        <v>11546</v>
      </c>
      <c r="H30" s="31">
        <v>188069</v>
      </c>
      <c r="I30" s="3">
        <v>884</v>
      </c>
      <c r="J30" s="22">
        <v>188953</v>
      </c>
    </row>
    <row r="31" spans="1:10" x14ac:dyDescent="0.35">
      <c r="A31" s="17" t="s">
        <v>23</v>
      </c>
      <c r="B31" s="3">
        <v>36168</v>
      </c>
      <c r="C31" s="2">
        <v>15161</v>
      </c>
      <c r="D31" s="2">
        <v>3408</v>
      </c>
      <c r="E31" s="2">
        <v>13750</v>
      </c>
      <c r="F31" s="2">
        <v>11900</v>
      </c>
      <c r="G31" s="25">
        <v>4090</v>
      </c>
      <c r="H31" s="31">
        <v>84477</v>
      </c>
      <c r="I31" s="3">
        <v>134</v>
      </c>
      <c r="J31" s="22">
        <v>84611</v>
      </c>
    </row>
    <row r="32" spans="1:10" x14ac:dyDescent="0.35">
      <c r="A32" s="17" t="s">
        <v>24</v>
      </c>
      <c r="B32" s="3">
        <v>19726</v>
      </c>
      <c r="C32" s="2">
        <v>6440</v>
      </c>
      <c r="D32" s="2">
        <v>945</v>
      </c>
      <c r="E32" s="2">
        <v>3654</v>
      </c>
      <c r="F32" s="2">
        <v>1080</v>
      </c>
      <c r="G32" s="25">
        <v>832</v>
      </c>
      <c r="H32" s="31">
        <v>32677</v>
      </c>
      <c r="I32" s="3">
        <v>0</v>
      </c>
      <c r="J32" s="22">
        <v>32677</v>
      </c>
    </row>
    <row r="33" spans="1:10" x14ac:dyDescent="0.35">
      <c r="A33" s="17" t="s">
        <v>25</v>
      </c>
      <c r="B33" s="2">
        <v>16100</v>
      </c>
      <c r="C33" s="2">
        <v>7843</v>
      </c>
      <c r="D33" s="2">
        <v>721</v>
      </c>
      <c r="E33" s="2">
        <v>1706</v>
      </c>
      <c r="F33" s="2">
        <v>2182</v>
      </c>
      <c r="G33" s="25">
        <v>1431</v>
      </c>
      <c r="H33" s="31">
        <v>29983</v>
      </c>
      <c r="I33" s="3">
        <v>0</v>
      </c>
      <c r="J33" s="22">
        <v>29983</v>
      </c>
    </row>
    <row r="34" spans="1:10" x14ac:dyDescent="0.35">
      <c r="A34" s="17" t="s">
        <v>40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1">
        <v>0</v>
      </c>
      <c r="I34" s="3">
        <v>0</v>
      </c>
      <c r="J34" s="18">
        <v>0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287362</v>
      </c>
      <c r="C36" s="33">
        <f>SUM(C25:C34)</f>
        <v>152426</v>
      </c>
      <c r="D36" s="33">
        <f>SUM(D25:D34)</f>
        <v>45157</v>
      </c>
      <c r="E36" s="33">
        <f>SUM(E25:E34)</f>
        <v>34222</v>
      </c>
      <c r="F36" s="33">
        <f>SUM(F25:F34)</f>
        <v>90970</v>
      </c>
      <c r="G36" s="34">
        <f>SUM(G25:G34)</f>
        <v>55294</v>
      </c>
      <c r="H36" s="29">
        <f>SUM(H25:H34)</f>
        <v>665431</v>
      </c>
      <c r="I36" s="33">
        <f>SUM(I25:I34)</f>
        <v>5090</v>
      </c>
      <c r="J36" s="35">
        <f>SUM(J25:J34)</f>
        <v>670521</v>
      </c>
    </row>
    <row r="37" spans="1:10" ht="15.5" thickTop="1" thickBot="1" x14ac:dyDescent="0.4">
      <c r="A37" s="10" t="s">
        <v>27</v>
      </c>
      <c r="B37" s="36">
        <f>SUM(B24,B36)</f>
        <v>332331</v>
      </c>
      <c r="C37" s="36">
        <f>SUM(C24,C36)</f>
        <v>190866</v>
      </c>
      <c r="D37" s="36">
        <f>SUM(D24,D36)</f>
        <v>59467</v>
      </c>
      <c r="E37" s="36">
        <f>SUM(E24,E36)</f>
        <v>38670</v>
      </c>
      <c r="F37" s="36">
        <f>SUM(F24,F36)</f>
        <v>106485</v>
      </c>
      <c r="G37" s="37">
        <f>SUM(G24,G36)</f>
        <v>69191</v>
      </c>
      <c r="H37" s="40">
        <f>SUM(H24,H36)</f>
        <v>797010</v>
      </c>
      <c r="I37" s="36">
        <f>SUM(I24,I36)</f>
        <v>6110</v>
      </c>
      <c r="J37" s="41">
        <f>SUM(J24,J36)</f>
        <v>803120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43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41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0</v>
      </c>
      <c r="F8" s="38">
        <v>3</v>
      </c>
      <c r="G8" s="38">
        <v>0</v>
      </c>
      <c r="H8" s="31">
        <v>5</v>
      </c>
      <c r="I8" s="4">
        <v>0</v>
      </c>
      <c r="J8" s="18">
        <v>5</v>
      </c>
    </row>
    <row r="9" spans="1:10" x14ac:dyDescent="0.35">
      <c r="A9" s="17" t="s">
        <v>3</v>
      </c>
      <c r="B9" s="38">
        <v>75</v>
      </c>
      <c r="C9" s="38">
        <v>40</v>
      </c>
      <c r="D9" s="38">
        <v>17</v>
      </c>
      <c r="E9" s="38">
        <v>5</v>
      </c>
      <c r="F9" s="38">
        <v>40</v>
      </c>
      <c r="G9" s="38">
        <v>28</v>
      </c>
      <c r="H9" s="31">
        <v>205</v>
      </c>
      <c r="I9" s="4">
        <v>1</v>
      </c>
      <c r="J9" s="18">
        <v>206</v>
      </c>
    </row>
    <row r="10" spans="1:10" x14ac:dyDescent="0.35">
      <c r="A10" s="17" t="s">
        <v>4</v>
      </c>
      <c r="B10" s="38">
        <v>167</v>
      </c>
      <c r="C10" s="38">
        <v>88</v>
      </c>
      <c r="D10" s="38">
        <v>35</v>
      </c>
      <c r="E10" s="38">
        <v>6</v>
      </c>
      <c r="F10" s="38">
        <v>135</v>
      </c>
      <c r="G10" s="38">
        <v>52</v>
      </c>
      <c r="H10" s="31">
        <v>483</v>
      </c>
      <c r="I10" s="4">
        <v>1</v>
      </c>
      <c r="J10" s="18">
        <v>484</v>
      </c>
    </row>
    <row r="11" spans="1:10" x14ac:dyDescent="0.35">
      <c r="A11" s="17" t="s">
        <v>5</v>
      </c>
      <c r="B11" s="39">
        <v>1323</v>
      </c>
      <c r="C11" s="39">
        <v>1817</v>
      </c>
      <c r="D11" s="39">
        <v>1231</v>
      </c>
      <c r="E11" s="38">
        <v>271</v>
      </c>
      <c r="F11" s="39">
        <v>1046</v>
      </c>
      <c r="G11" s="39">
        <v>1024</v>
      </c>
      <c r="H11" s="31">
        <v>6712</v>
      </c>
      <c r="I11" s="4">
        <v>37</v>
      </c>
      <c r="J11" s="18">
        <v>6749</v>
      </c>
    </row>
    <row r="12" spans="1:10" x14ac:dyDescent="0.35">
      <c r="A12" s="17" t="s">
        <v>6</v>
      </c>
      <c r="B12" s="39">
        <v>3643</v>
      </c>
      <c r="C12" s="39">
        <v>5111</v>
      </c>
      <c r="D12" s="39">
        <v>3357</v>
      </c>
      <c r="E12" s="38">
        <v>703</v>
      </c>
      <c r="F12" s="39">
        <v>4210</v>
      </c>
      <c r="G12" s="39">
        <v>3988</v>
      </c>
      <c r="H12" s="31">
        <v>21012</v>
      </c>
      <c r="I12" s="4">
        <v>136</v>
      </c>
      <c r="J12" s="18">
        <v>21148</v>
      </c>
    </row>
    <row r="13" spans="1:10" x14ac:dyDescent="0.35">
      <c r="A13" s="17" t="s">
        <v>7</v>
      </c>
      <c r="B13" s="39">
        <v>7012</v>
      </c>
      <c r="C13" s="39">
        <v>9383</v>
      </c>
      <c r="D13" s="39">
        <v>5105</v>
      </c>
      <c r="E13" s="39">
        <v>1650</v>
      </c>
      <c r="F13" s="39">
        <v>4251</v>
      </c>
      <c r="G13" s="39">
        <v>5013</v>
      </c>
      <c r="H13" s="31">
        <v>32414</v>
      </c>
      <c r="I13" s="4">
        <v>320</v>
      </c>
      <c r="J13" s="18">
        <v>32734</v>
      </c>
    </row>
    <row r="14" spans="1:10" x14ac:dyDescent="0.35">
      <c r="A14" s="17" t="s">
        <v>8</v>
      </c>
      <c r="B14" s="39">
        <v>10762</v>
      </c>
      <c r="C14" s="39">
        <v>10743</v>
      </c>
      <c r="D14" s="39">
        <v>3403</v>
      </c>
      <c r="E14" s="39">
        <v>1057</v>
      </c>
      <c r="F14" s="39">
        <v>3462</v>
      </c>
      <c r="G14" s="39">
        <v>2836</v>
      </c>
      <c r="H14" s="31">
        <v>32263</v>
      </c>
      <c r="I14" s="4">
        <v>285</v>
      </c>
      <c r="J14" s="18">
        <v>32548</v>
      </c>
    </row>
    <row r="15" spans="1:10" x14ac:dyDescent="0.35">
      <c r="A15" s="17" t="s">
        <v>9</v>
      </c>
      <c r="B15" s="39">
        <v>7970</v>
      </c>
      <c r="C15" s="39">
        <v>5321</v>
      </c>
      <c r="D15" s="38">
        <v>598</v>
      </c>
      <c r="E15" s="38">
        <v>280</v>
      </c>
      <c r="F15" s="39">
        <v>1276</v>
      </c>
      <c r="G15" s="38">
        <v>558</v>
      </c>
      <c r="H15" s="31">
        <v>16003</v>
      </c>
      <c r="I15" s="4">
        <v>67</v>
      </c>
      <c r="J15" s="18">
        <v>16070</v>
      </c>
    </row>
    <row r="16" spans="1:10" x14ac:dyDescent="0.35">
      <c r="A16" s="17" t="s">
        <v>10</v>
      </c>
      <c r="B16" s="39">
        <v>5613</v>
      </c>
      <c r="C16" s="39">
        <v>2422</v>
      </c>
      <c r="D16" s="38">
        <v>458</v>
      </c>
      <c r="E16" s="38">
        <v>294</v>
      </c>
      <c r="F16" s="39">
        <v>1073</v>
      </c>
      <c r="G16" s="42">
        <v>438</v>
      </c>
      <c r="H16" s="44">
        <v>10298</v>
      </c>
      <c r="I16" s="4">
        <v>69</v>
      </c>
      <c r="J16" s="18">
        <v>10367</v>
      </c>
    </row>
    <row r="17" spans="1:10" x14ac:dyDescent="0.35">
      <c r="A17" s="17" t="s">
        <v>11</v>
      </c>
      <c r="B17" s="39">
        <v>439</v>
      </c>
      <c r="C17" s="38">
        <v>110</v>
      </c>
      <c r="D17" s="38">
        <v>4</v>
      </c>
      <c r="E17" s="38">
        <v>18</v>
      </c>
      <c r="F17" s="38">
        <v>0</v>
      </c>
      <c r="G17" s="42">
        <v>0</v>
      </c>
      <c r="H17" s="46">
        <v>571</v>
      </c>
      <c r="I17" s="43">
        <v>0</v>
      </c>
      <c r="J17" s="49">
        <v>571</v>
      </c>
    </row>
    <row r="18" spans="1:10" x14ac:dyDescent="0.35">
      <c r="A18" s="17" t="s">
        <v>12</v>
      </c>
      <c r="B18" s="39">
        <v>1452</v>
      </c>
      <c r="C18" s="39">
        <v>565</v>
      </c>
      <c r="D18" s="38">
        <v>25</v>
      </c>
      <c r="E18" s="38">
        <v>46</v>
      </c>
      <c r="F18" s="38">
        <v>0</v>
      </c>
      <c r="G18" s="42">
        <v>0</v>
      </c>
      <c r="H18" s="46">
        <v>2088</v>
      </c>
      <c r="I18" s="43">
        <v>35</v>
      </c>
      <c r="J18" s="49">
        <v>2123</v>
      </c>
    </row>
    <row r="19" spans="1:10" x14ac:dyDescent="0.35">
      <c r="A19" s="17" t="s">
        <v>13</v>
      </c>
      <c r="B19" s="39">
        <v>2534</v>
      </c>
      <c r="C19" s="39">
        <v>1265</v>
      </c>
      <c r="D19" s="38">
        <v>30</v>
      </c>
      <c r="E19" s="38">
        <v>81</v>
      </c>
      <c r="F19" s="38">
        <v>0</v>
      </c>
      <c r="G19" s="42">
        <v>0</v>
      </c>
      <c r="H19" s="46">
        <v>3910</v>
      </c>
      <c r="I19" s="43">
        <v>38</v>
      </c>
      <c r="J19" s="49">
        <v>3948</v>
      </c>
    </row>
    <row r="20" spans="1:10" x14ac:dyDescent="0.35">
      <c r="A20" s="17" t="s">
        <v>14</v>
      </c>
      <c r="B20" s="39">
        <v>2942</v>
      </c>
      <c r="C20" s="39">
        <v>1139</v>
      </c>
      <c r="D20" s="38">
        <v>36</v>
      </c>
      <c r="E20" s="38">
        <v>82</v>
      </c>
      <c r="F20" s="38">
        <v>0</v>
      </c>
      <c r="G20" s="42">
        <v>0</v>
      </c>
      <c r="H20" s="47">
        <v>4199</v>
      </c>
      <c r="I20" s="43">
        <v>29</v>
      </c>
      <c r="J20" s="49">
        <v>4228</v>
      </c>
    </row>
    <row r="21" spans="1:10" x14ac:dyDescent="0.35">
      <c r="A21" s="17" t="s">
        <v>15</v>
      </c>
      <c r="B21" s="39">
        <v>1324</v>
      </c>
      <c r="C21" s="38">
        <v>483</v>
      </c>
      <c r="D21" s="38">
        <v>0</v>
      </c>
      <c r="E21" s="38">
        <v>18</v>
      </c>
      <c r="F21" s="38">
        <v>0</v>
      </c>
      <c r="G21" s="38">
        <v>0</v>
      </c>
      <c r="H21" s="44">
        <v>1825</v>
      </c>
      <c r="I21" s="4">
        <v>0</v>
      </c>
      <c r="J21" s="18">
        <v>1825</v>
      </c>
    </row>
    <row r="22" spans="1:10" x14ac:dyDescent="0.35">
      <c r="A22" s="17" t="s">
        <v>39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42">
        <v>0</v>
      </c>
      <c r="H22" s="45">
        <v>0</v>
      </c>
      <c r="I22" s="43">
        <v>0</v>
      </c>
      <c r="J22" s="48">
        <v>0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45258</v>
      </c>
      <c r="C24" s="33">
        <f t="shared" ref="C24:G24" si="0">SUM(C7:C22)</f>
        <v>38487</v>
      </c>
      <c r="D24" s="33">
        <f t="shared" si="0"/>
        <v>14299</v>
      </c>
      <c r="E24" s="33">
        <f t="shared" si="0"/>
        <v>4511</v>
      </c>
      <c r="F24" s="33">
        <f t="shared" si="0"/>
        <v>15497</v>
      </c>
      <c r="G24" s="33">
        <f t="shared" si="0"/>
        <v>13937</v>
      </c>
      <c r="H24" s="29">
        <f>SUM(H7:H22)</f>
        <v>131989</v>
      </c>
      <c r="I24" s="33">
        <f>SUM(I7:I22)</f>
        <v>1018</v>
      </c>
      <c r="J24" s="35">
        <f>SUM(J7:J22)</f>
        <v>133007</v>
      </c>
    </row>
    <row r="25" spans="1:10" x14ac:dyDescent="0.35">
      <c r="A25" s="17" t="s">
        <v>17</v>
      </c>
      <c r="B25" s="4">
        <v>1989</v>
      </c>
      <c r="C25" s="5">
        <v>1461</v>
      </c>
      <c r="D25" s="5">
        <v>353</v>
      </c>
      <c r="E25" s="5">
        <v>163</v>
      </c>
      <c r="F25" s="5">
        <v>2065</v>
      </c>
      <c r="G25" s="24">
        <v>1004</v>
      </c>
      <c r="H25" s="31">
        <v>7035</v>
      </c>
      <c r="I25" s="4">
        <v>68</v>
      </c>
      <c r="J25" s="22">
        <v>7103</v>
      </c>
    </row>
    <row r="26" spans="1:10" x14ac:dyDescent="0.35">
      <c r="A26" s="17" t="s">
        <v>18</v>
      </c>
      <c r="B26" s="3">
        <v>7131</v>
      </c>
      <c r="C26" s="2">
        <v>5167</v>
      </c>
      <c r="D26" s="2">
        <v>1031</v>
      </c>
      <c r="E26" s="2">
        <v>485</v>
      </c>
      <c r="F26" s="2">
        <v>4561</v>
      </c>
      <c r="G26" s="25">
        <v>2814</v>
      </c>
      <c r="H26" s="31">
        <v>21189</v>
      </c>
      <c r="I26" s="3">
        <v>132</v>
      </c>
      <c r="J26" s="22">
        <v>21321</v>
      </c>
    </row>
    <row r="27" spans="1:10" x14ac:dyDescent="0.35">
      <c r="A27" s="17" t="s">
        <v>19</v>
      </c>
      <c r="B27" s="3">
        <v>18502</v>
      </c>
      <c r="C27" s="2">
        <v>13558</v>
      </c>
      <c r="D27" s="2">
        <v>3760</v>
      </c>
      <c r="E27" s="2">
        <v>1153</v>
      </c>
      <c r="F27" s="2">
        <v>14754</v>
      </c>
      <c r="G27" s="25">
        <v>8117</v>
      </c>
      <c r="H27" s="31">
        <v>59844</v>
      </c>
      <c r="I27" s="3">
        <v>720</v>
      </c>
      <c r="J27" s="22">
        <v>60564</v>
      </c>
    </row>
    <row r="28" spans="1:10" x14ac:dyDescent="0.35">
      <c r="A28" s="17" t="s">
        <v>20</v>
      </c>
      <c r="B28" s="3">
        <v>32402</v>
      </c>
      <c r="C28" s="2">
        <v>18571</v>
      </c>
      <c r="D28" s="2">
        <v>11984</v>
      </c>
      <c r="E28" s="2">
        <v>1915</v>
      </c>
      <c r="F28" s="2">
        <v>20420</v>
      </c>
      <c r="G28" s="25">
        <v>13334</v>
      </c>
      <c r="H28" s="31">
        <v>98626</v>
      </c>
      <c r="I28" s="3">
        <v>1585</v>
      </c>
      <c r="J28" s="22">
        <v>100211</v>
      </c>
    </row>
    <row r="29" spans="1:10" x14ac:dyDescent="0.35">
      <c r="A29" s="17" t="s">
        <v>21</v>
      </c>
      <c r="B29" s="3">
        <v>58891</v>
      </c>
      <c r="C29" s="2">
        <v>31460</v>
      </c>
      <c r="D29" s="2">
        <v>15402</v>
      </c>
      <c r="E29" s="2">
        <v>4779</v>
      </c>
      <c r="F29" s="2">
        <v>20828</v>
      </c>
      <c r="G29" s="25">
        <v>12131</v>
      </c>
      <c r="H29" s="31">
        <v>143491</v>
      </c>
      <c r="I29" s="3">
        <v>1596</v>
      </c>
      <c r="J29" s="22">
        <v>145087</v>
      </c>
    </row>
    <row r="30" spans="1:10" x14ac:dyDescent="0.35">
      <c r="A30" s="17" t="s">
        <v>22</v>
      </c>
      <c r="B30" s="3">
        <v>96919</v>
      </c>
      <c r="C30" s="2">
        <v>52584</v>
      </c>
      <c r="D30" s="2">
        <v>7561</v>
      </c>
      <c r="E30" s="2">
        <v>6309</v>
      </c>
      <c r="F30" s="2">
        <v>13321</v>
      </c>
      <c r="G30" s="25">
        <v>11536</v>
      </c>
      <c r="H30" s="31">
        <v>188230</v>
      </c>
      <c r="I30" s="3">
        <v>907</v>
      </c>
      <c r="J30" s="22">
        <v>189137</v>
      </c>
    </row>
    <row r="31" spans="1:10" x14ac:dyDescent="0.35">
      <c r="A31" s="17" t="s">
        <v>23</v>
      </c>
      <c r="B31" s="3">
        <v>36476</v>
      </c>
      <c r="C31" s="2">
        <v>15183</v>
      </c>
      <c r="D31" s="2">
        <v>3422</v>
      </c>
      <c r="E31" s="2">
        <v>14069</v>
      </c>
      <c r="F31" s="2">
        <v>12005</v>
      </c>
      <c r="G31" s="25">
        <v>4106</v>
      </c>
      <c r="H31" s="31">
        <v>85261</v>
      </c>
      <c r="I31" s="3">
        <v>212</v>
      </c>
      <c r="J31" s="22">
        <v>85473</v>
      </c>
    </row>
    <row r="32" spans="1:10" x14ac:dyDescent="0.35">
      <c r="A32" s="17" t="s">
        <v>24</v>
      </c>
      <c r="B32" s="3">
        <v>20242</v>
      </c>
      <c r="C32" s="2">
        <v>6438</v>
      </c>
      <c r="D32" s="2">
        <v>953</v>
      </c>
      <c r="E32" s="2">
        <v>3633</v>
      </c>
      <c r="F32" s="2">
        <v>1116</v>
      </c>
      <c r="G32" s="25">
        <v>839</v>
      </c>
      <c r="H32" s="31">
        <v>33221</v>
      </c>
      <c r="I32" s="3">
        <v>0</v>
      </c>
      <c r="J32" s="22">
        <v>33221</v>
      </c>
    </row>
    <row r="33" spans="1:10" x14ac:dyDescent="0.35">
      <c r="A33" s="17" t="s">
        <v>25</v>
      </c>
      <c r="B33" s="2">
        <v>15982</v>
      </c>
      <c r="C33" s="2">
        <v>7993</v>
      </c>
      <c r="D33" s="2">
        <v>734</v>
      </c>
      <c r="E33" s="2">
        <v>1977</v>
      </c>
      <c r="F33" s="2">
        <v>2130</v>
      </c>
      <c r="G33" s="25">
        <v>1450</v>
      </c>
      <c r="H33" s="31">
        <v>30266</v>
      </c>
      <c r="I33" s="3">
        <v>0</v>
      </c>
      <c r="J33" s="22">
        <v>30266</v>
      </c>
    </row>
    <row r="34" spans="1:10" x14ac:dyDescent="0.35">
      <c r="A34" s="17" t="s">
        <v>40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1">
        <v>0</v>
      </c>
      <c r="I34" s="3">
        <v>0</v>
      </c>
      <c r="J34" s="18">
        <v>0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288534</v>
      </c>
      <c r="C36" s="33">
        <f t="shared" ref="C36:J36" si="1">SUM(C25:C34)</f>
        <v>152415</v>
      </c>
      <c r="D36" s="33">
        <f t="shared" si="1"/>
        <v>45200</v>
      </c>
      <c r="E36" s="33">
        <f t="shared" si="1"/>
        <v>34483</v>
      </c>
      <c r="F36" s="33">
        <f t="shared" si="1"/>
        <v>91200</v>
      </c>
      <c r="G36" s="34">
        <f t="shared" si="1"/>
        <v>55331</v>
      </c>
      <c r="H36" s="29">
        <f t="shared" si="1"/>
        <v>667163</v>
      </c>
      <c r="I36" s="33">
        <f t="shared" si="1"/>
        <v>5220</v>
      </c>
      <c r="J36" s="35">
        <f t="shared" si="1"/>
        <v>672383</v>
      </c>
    </row>
    <row r="37" spans="1:10" ht="15.5" thickTop="1" thickBot="1" x14ac:dyDescent="0.4">
      <c r="A37" s="10" t="s">
        <v>27</v>
      </c>
      <c r="B37" s="36">
        <f t="shared" ref="B37:J37" si="2">SUM(B24,B36)</f>
        <v>333792</v>
      </c>
      <c r="C37" s="36">
        <f t="shared" si="2"/>
        <v>190902</v>
      </c>
      <c r="D37" s="36">
        <f t="shared" si="2"/>
        <v>59499</v>
      </c>
      <c r="E37" s="36">
        <f t="shared" si="2"/>
        <v>38994</v>
      </c>
      <c r="F37" s="36">
        <f t="shared" si="2"/>
        <v>106697</v>
      </c>
      <c r="G37" s="37">
        <f t="shared" si="2"/>
        <v>69268</v>
      </c>
      <c r="H37" s="40">
        <f t="shared" si="2"/>
        <v>799152</v>
      </c>
      <c r="I37" s="36">
        <f t="shared" si="2"/>
        <v>6238</v>
      </c>
      <c r="J37" s="41">
        <f t="shared" si="2"/>
        <v>805390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9"/>
  <sheetViews>
    <sheetView tabSelected="1" workbookViewId="0">
      <selection activeCell="A3" sqref="A3:J3"/>
    </sheetView>
  </sheetViews>
  <sheetFormatPr defaultRowHeight="14.5" x14ac:dyDescent="0.35"/>
  <cols>
    <col min="1" max="1" width="40.81640625" style="1" bestFit="1" customWidth="1"/>
    <col min="2" max="2" width="15.81640625" customWidth="1"/>
    <col min="3" max="10" width="15.7265625" customWidth="1"/>
  </cols>
  <sheetData>
    <row r="1" spans="1:10" ht="19" thickTop="1" x14ac:dyDescent="0.45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8.5" x14ac:dyDescent="0.45">
      <c r="A2" s="53" t="s">
        <v>29</v>
      </c>
      <c r="B2" s="54"/>
      <c r="C2" s="54"/>
      <c r="D2" s="54"/>
      <c r="E2" s="54"/>
      <c r="F2" s="54"/>
      <c r="G2" s="54"/>
      <c r="H2" s="54"/>
      <c r="I2" s="54"/>
      <c r="J2" s="55"/>
    </row>
    <row r="3" spans="1:10" ht="18.5" x14ac:dyDescent="0.45">
      <c r="A3" s="56" t="s">
        <v>42</v>
      </c>
      <c r="B3" s="57"/>
      <c r="C3" s="57"/>
      <c r="D3" s="57"/>
      <c r="E3" s="57"/>
      <c r="F3" s="57"/>
      <c r="G3" s="57"/>
      <c r="H3" s="57"/>
      <c r="I3" s="57"/>
      <c r="J3" s="58"/>
    </row>
    <row r="4" spans="1:10" ht="19" thickBot="1" x14ac:dyDescent="0.5">
      <c r="A4" s="59"/>
      <c r="B4" s="60"/>
      <c r="C4" s="60"/>
      <c r="D4" s="60"/>
      <c r="E4" s="60"/>
      <c r="F4" s="60"/>
      <c r="G4" s="60"/>
      <c r="H4" s="60"/>
      <c r="I4" s="60"/>
      <c r="J4" s="61"/>
    </row>
    <row r="5" spans="1:10" ht="15" thickBot="1" x14ac:dyDescent="0.4">
      <c r="A5" s="62"/>
      <c r="B5" s="63"/>
      <c r="C5" s="63"/>
      <c r="D5" s="63"/>
      <c r="E5" s="63"/>
      <c r="F5" s="63"/>
      <c r="G5" s="63"/>
      <c r="H5" s="63"/>
      <c r="I5" s="63"/>
      <c r="J5" s="64"/>
    </row>
    <row r="6" spans="1:10" s="12" customFormat="1" ht="29.5" thickBot="1" x14ac:dyDescent="0.4">
      <c r="A6" s="15" t="s">
        <v>0</v>
      </c>
      <c r="B6" s="13" t="s">
        <v>30</v>
      </c>
      <c r="C6" s="14" t="s">
        <v>31</v>
      </c>
      <c r="D6" s="14" t="s">
        <v>32</v>
      </c>
      <c r="E6" s="14" t="s">
        <v>33</v>
      </c>
      <c r="F6" s="14" t="s">
        <v>34</v>
      </c>
      <c r="G6" s="23" t="s">
        <v>35</v>
      </c>
      <c r="H6" s="30" t="s">
        <v>36</v>
      </c>
      <c r="I6" s="28" t="s">
        <v>41</v>
      </c>
      <c r="J6" s="16" t="s">
        <v>37</v>
      </c>
    </row>
    <row r="7" spans="1:10" ht="15" thickTop="1" x14ac:dyDescent="0.35">
      <c r="A7" s="17" t="s">
        <v>1</v>
      </c>
      <c r="B7" s="38">
        <v>0</v>
      </c>
      <c r="C7" s="38">
        <v>0</v>
      </c>
      <c r="D7" s="38">
        <v>0</v>
      </c>
      <c r="E7" s="38">
        <v>0</v>
      </c>
      <c r="F7" s="38">
        <v>1</v>
      </c>
      <c r="G7" s="38">
        <v>0</v>
      </c>
      <c r="H7" s="31">
        <v>1</v>
      </c>
      <c r="I7" s="4">
        <v>0</v>
      </c>
      <c r="J7" s="18">
        <v>1</v>
      </c>
    </row>
    <row r="8" spans="1:10" x14ac:dyDescent="0.35">
      <c r="A8" s="17" t="s">
        <v>2</v>
      </c>
      <c r="B8" s="38">
        <v>2</v>
      </c>
      <c r="C8" s="38">
        <v>0</v>
      </c>
      <c r="D8" s="38">
        <v>0</v>
      </c>
      <c r="E8" s="38">
        <v>1</v>
      </c>
      <c r="F8" s="38">
        <v>3</v>
      </c>
      <c r="G8" s="38">
        <v>0</v>
      </c>
      <c r="H8" s="31">
        <v>6</v>
      </c>
      <c r="I8" s="4">
        <v>0</v>
      </c>
      <c r="J8" s="18">
        <v>6</v>
      </c>
    </row>
    <row r="9" spans="1:10" x14ac:dyDescent="0.35">
      <c r="A9" s="17" t="s">
        <v>3</v>
      </c>
      <c r="B9" s="38">
        <v>73</v>
      </c>
      <c r="C9" s="38">
        <v>37</v>
      </c>
      <c r="D9" s="38">
        <v>20</v>
      </c>
      <c r="E9" s="38">
        <v>4</v>
      </c>
      <c r="F9" s="38">
        <v>40</v>
      </c>
      <c r="G9" s="38">
        <v>26</v>
      </c>
      <c r="H9" s="31">
        <v>200</v>
      </c>
      <c r="I9" s="4">
        <v>1</v>
      </c>
      <c r="J9" s="18">
        <v>201</v>
      </c>
    </row>
    <row r="10" spans="1:10" x14ac:dyDescent="0.35">
      <c r="A10" s="17" t="s">
        <v>4</v>
      </c>
      <c r="B10" s="38">
        <v>171</v>
      </c>
      <c r="C10" s="38">
        <v>87</v>
      </c>
      <c r="D10" s="38">
        <v>41</v>
      </c>
      <c r="E10" s="38">
        <v>6</v>
      </c>
      <c r="F10" s="38">
        <v>136</v>
      </c>
      <c r="G10" s="38">
        <v>52</v>
      </c>
      <c r="H10" s="31">
        <v>493</v>
      </c>
      <c r="I10" s="4">
        <v>1</v>
      </c>
      <c r="J10" s="18">
        <v>494</v>
      </c>
    </row>
    <row r="11" spans="1:10" x14ac:dyDescent="0.35">
      <c r="A11" s="17" t="s">
        <v>5</v>
      </c>
      <c r="B11" s="39">
        <v>1315</v>
      </c>
      <c r="C11" s="39">
        <v>1805</v>
      </c>
      <c r="D11" s="39">
        <v>1235</v>
      </c>
      <c r="E11" s="38">
        <v>281</v>
      </c>
      <c r="F11" s="39">
        <v>1046</v>
      </c>
      <c r="G11" s="39">
        <v>1024</v>
      </c>
      <c r="H11" s="31">
        <v>6706</v>
      </c>
      <c r="I11" s="4">
        <v>39</v>
      </c>
      <c r="J11" s="18">
        <v>6745</v>
      </c>
    </row>
    <row r="12" spans="1:10" x14ac:dyDescent="0.35">
      <c r="A12" s="17" t="s">
        <v>6</v>
      </c>
      <c r="B12" s="39">
        <v>3664</v>
      </c>
      <c r="C12" s="39">
        <v>5188</v>
      </c>
      <c r="D12" s="39">
        <v>3355</v>
      </c>
      <c r="E12" s="38">
        <v>695</v>
      </c>
      <c r="F12" s="39">
        <v>4194</v>
      </c>
      <c r="G12" s="39">
        <v>4032</v>
      </c>
      <c r="H12" s="31">
        <v>21128</v>
      </c>
      <c r="I12" s="4">
        <v>137</v>
      </c>
      <c r="J12" s="18">
        <v>21265</v>
      </c>
    </row>
    <row r="13" spans="1:10" x14ac:dyDescent="0.35">
      <c r="A13" s="17" t="s">
        <v>7</v>
      </c>
      <c r="B13" s="39">
        <v>7078</v>
      </c>
      <c r="C13" s="39">
        <v>9677</v>
      </c>
      <c r="D13" s="39">
        <v>5077</v>
      </c>
      <c r="E13" s="39">
        <v>1730</v>
      </c>
      <c r="F13" s="39">
        <v>4231</v>
      </c>
      <c r="G13" s="39">
        <v>5014</v>
      </c>
      <c r="H13" s="31">
        <v>32807</v>
      </c>
      <c r="I13" s="4">
        <v>318</v>
      </c>
      <c r="J13" s="18">
        <v>33125</v>
      </c>
    </row>
    <row r="14" spans="1:10" x14ac:dyDescent="0.35">
      <c r="A14" s="17" t="s">
        <v>8</v>
      </c>
      <c r="B14" s="39">
        <v>10751</v>
      </c>
      <c r="C14" s="39">
        <v>10431</v>
      </c>
      <c r="D14" s="39">
        <v>3388</v>
      </c>
      <c r="E14" s="39">
        <v>970</v>
      </c>
      <c r="F14" s="39">
        <v>3505</v>
      </c>
      <c r="G14" s="39">
        <v>2882</v>
      </c>
      <c r="H14" s="31">
        <v>31927</v>
      </c>
      <c r="I14" s="4">
        <v>281</v>
      </c>
      <c r="J14" s="18">
        <v>32208</v>
      </c>
    </row>
    <row r="15" spans="1:10" x14ac:dyDescent="0.35">
      <c r="A15" s="17" t="s">
        <v>9</v>
      </c>
      <c r="B15" s="39">
        <v>7919</v>
      </c>
      <c r="C15" s="39">
        <v>5288</v>
      </c>
      <c r="D15" s="38">
        <v>628</v>
      </c>
      <c r="E15" s="38">
        <v>280</v>
      </c>
      <c r="F15" s="39">
        <v>1263</v>
      </c>
      <c r="G15" s="38">
        <v>577</v>
      </c>
      <c r="H15" s="31">
        <v>15955</v>
      </c>
      <c r="I15" s="4">
        <v>67</v>
      </c>
      <c r="J15" s="18">
        <v>16022</v>
      </c>
    </row>
    <row r="16" spans="1:10" x14ac:dyDescent="0.35">
      <c r="A16" s="17" t="s">
        <v>10</v>
      </c>
      <c r="B16" s="39">
        <v>6011</v>
      </c>
      <c r="C16" s="39">
        <v>2444</v>
      </c>
      <c r="D16" s="38">
        <v>466</v>
      </c>
      <c r="E16" s="38">
        <v>290</v>
      </c>
      <c r="F16" s="39">
        <v>1076</v>
      </c>
      <c r="G16" s="42">
        <v>435</v>
      </c>
      <c r="H16" s="44">
        <v>10722</v>
      </c>
      <c r="I16" s="4">
        <v>68</v>
      </c>
      <c r="J16" s="18">
        <v>10790</v>
      </c>
    </row>
    <row r="17" spans="1:10" x14ac:dyDescent="0.35">
      <c r="A17" s="17" t="s">
        <v>11</v>
      </c>
      <c r="B17" s="39">
        <v>453</v>
      </c>
      <c r="C17" s="38">
        <v>106</v>
      </c>
      <c r="D17" s="38">
        <v>4</v>
      </c>
      <c r="E17" s="38">
        <v>18</v>
      </c>
      <c r="F17" s="38">
        <v>0</v>
      </c>
      <c r="G17" s="42">
        <v>0</v>
      </c>
      <c r="H17" s="46">
        <v>581</v>
      </c>
      <c r="I17" s="43">
        <v>0</v>
      </c>
      <c r="J17" s="49">
        <v>581</v>
      </c>
    </row>
    <row r="18" spans="1:10" x14ac:dyDescent="0.35">
      <c r="A18" s="17" t="s">
        <v>12</v>
      </c>
      <c r="B18" s="39">
        <v>1491</v>
      </c>
      <c r="C18" s="39">
        <v>590</v>
      </c>
      <c r="D18" s="38">
        <v>24</v>
      </c>
      <c r="E18" s="38">
        <v>46</v>
      </c>
      <c r="F18" s="38">
        <v>0</v>
      </c>
      <c r="G18" s="42">
        <v>0</v>
      </c>
      <c r="H18" s="46">
        <v>2151</v>
      </c>
      <c r="I18" s="43">
        <v>38</v>
      </c>
      <c r="J18" s="49">
        <v>2189</v>
      </c>
    </row>
    <row r="19" spans="1:10" x14ac:dyDescent="0.35">
      <c r="A19" s="17" t="s">
        <v>13</v>
      </c>
      <c r="B19" s="39">
        <v>2535</v>
      </c>
      <c r="C19" s="39">
        <v>1284</v>
      </c>
      <c r="D19" s="38">
        <v>30</v>
      </c>
      <c r="E19" s="38">
        <v>77</v>
      </c>
      <c r="F19" s="38">
        <v>0</v>
      </c>
      <c r="G19" s="42">
        <v>0</v>
      </c>
      <c r="H19" s="46">
        <v>3926</v>
      </c>
      <c r="I19" s="43">
        <v>36</v>
      </c>
      <c r="J19" s="49">
        <v>3962</v>
      </c>
    </row>
    <row r="20" spans="1:10" x14ac:dyDescent="0.35">
      <c r="A20" s="17" t="s">
        <v>14</v>
      </c>
      <c r="B20" s="39">
        <v>2876</v>
      </c>
      <c r="C20" s="39">
        <v>1118</v>
      </c>
      <c r="D20" s="38">
        <v>36</v>
      </c>
      <c r="E20" s="38">
        <v>82</v>
      </c>
      <c r="F20" s="38">
        <v>0</v>
      </c>
      <c r="G20" s="42">
        <v>0</v>
      </c>
      <c r="H20" s="47">
        <v>4112</v>
      </c>
      <c r="I20" s="43">
        <v>26</v>
      </c>
      <c r="J20" s="49">
        <v>4138</v>
      </c>
    </row>
    <row r="21" spans="1:10" x14ac:dyDescent="0.35">
      <c r="A21" s="17" t="s">
        <v>15</v>
      </c>
      <c r="B21" s="39">
        <v>1449</v>
      </c>
      <c r="C21" s="38">
        <v>461</v>
      </c>
      <c r="D21" s="38">
        <v>0</v>
      </c>
      <c r="E21" s="38">
        <v>19</v>
      </c>
      <c r="F21" s="38">
        <v>0</v>
      </c>
      <c r="G21" s="38">
        <v>0</v>
      </c>
      <c r="H21" s="44">
        <v>1929</v>
      </c>
      <c r="I21" s="4">
        <v>0</v>
      </c>
      <c r="J21" s="18">
        <v>1929</v>
      </c>
    </row>
    <row r="22" spans="1:10" x14ac:dyDescent="0.35">
      <c r="A22" s="17" t="s">
        <v>39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42">
        <v>0</v>
      </c>
      <c r="H22" s="45">
        <v>0</v>
      </c>
      <c r="I22" s="43">
        <v>0</v>
      </c>
      <c r="J22" s="48">
        <v>0</v>
      </c>
    </row>
    <row r="23" spans="1:10" ht="15" thickBot="1" x14ac:dyDescent="0.4">
      <c r="A23" s="19"/>
      <c r="B23" s="6"/>
      <c r="C23" s="7"/>
      <c r="D23" s="7"/>
      <c r="E23" s="7"/>
      <c r="F23" s="7"/>
      <c r="G23" s="26"/>
      <c r="H23" s="32"/>
      <c r="I23" s="6" t="s">
        <v>38</v>
      </c>
      <c r="J23" s="20"/>
    </row>
    <row r="24" spans="1:10" ht="15" thickBot="1" x14ac:dyDescent="0.4">
      <c r="A24" s="21" t="s">
        <v>16</v>
      </c>
      <c r="B24" s="33">
        <f>SUM(B7:B22)</f>
        <v>45788</v>
      </c>
      <c r="C24" s="33">
        <f t="shared" ref="C24:G24" si="0">SUM(C7:C22)</f>
        <v>38516</v>
      </c>
      <c r="D24" s="33">
        <f t="shared" si="0"/>
        <v>14304</v>
      </c>
      <c r="E24" s="33">
        <f t="shared" si="0"/>
        <v>4499</v>
      </c>
      <c r="F24" s="33">
        <f t="shared" si="0"/>
        <v>15495</v>
      </c>
      <c r="G24" s="33">
        <f t="shared" si="0"/>
        <v>14042</v>
      </c>
      <c r="H24" s="29">
        <f>SUM(H7:H22)</f>
        <v>132644</v>
      </c>
      <c r="I24" s="33">
        <f>SUM(I7:I22)</f>
        <v>1012</v>
      </c>
      <c r="J24" s="35">
        <f>SUM(J7:J22)</f>
        <v>133656</v>
      </c>
    </row>
    <row r="25" spans="1:10" x14ac:dyDescent="0.35">
      <c r="A25" s="17" t="s">
        <v>17</v>
      </c>
      <c r="B25" s="4">
        <v>1991</v>
      </c>
      <c r="C25" s="5">
        <v>1453</v>
      </c>
      <c r="D25" s="5">
        <v>352</v>
      </c>
      <c r="E25" s="5">
        <v>160</v>
      </c>
      <c r="F25" s="5">
        <v>2067</v>
      </c>
      <c r="G25" s="24">
        <v>1008</v>
      </c>
      <c r="H25" s="31">
        <v>7031</v>
      </c>
      <c r="I25" s="4">
        <v>68</v>
      </c>
      <c r="J25" s="22">
        <v>7099</v>
      </c>
    </row>
    <row r="26" spans="1:10" x14ac:dyDescent="0.35">
      <c r="A26" s="17" t="s">
        <v>18</v>
      </c>
      <c r="B26" s="3">
        <v>7131</v>
      </c>
      <c r="C26" s="2">
        <v>5216</v>
      </c>
      <c r="D26" s="2">
        <v>1023</v>
      </c>
      <c r="E26" s="2">
        <v>480</v>
      </c>
      <c r="F26" s="2">
        <v>4564</v>
      </c>
      <c r="G26" s="25">
        <v>2824</v>
      </c>
      <c r="H26" s="31">
        <v>21238</v>
      </c>
      <c r="I26" s="3">
        <v>134</v>
      </c>
      <c r="J26" s="22">
        <v>21372</v>
      </c>
    </row>
    <row r="27" spans="1:10" x14ac:dyDescent="0.35">
      <c r="A27" s="17" t="s">
        <v>19</v>
      </c>
      <c r="B27" s="3">
        <v>18580</v>
      </c>
      <c r="C27" s="2">
        <v>13401</v>
      </c>
      <c r="D27" s="2">
        <v>3764</v>
      </c>
      <c r="E27" s="2">
        <v>1150</v>
      </c>
      <c r="F27" s="2">
        <v>14728</v>
      </c>
      <c r="G27" s="25">
        <v>8079</v>
      </c>
      <c r="H27" s="31">
        <v>59702</v>
      </c>
      <c r="I27" s="3">
        <v>719</v>
      </c>
      <c r="J27" s="22">
        <v>60421</v>
      </c>
    </row>
    <row r="28" spans="1:10" x14ac:dyDescent="0.35">
      <c r="A28" s="17" t="s">
        <v>20</v>
      </c>
      <c r="B28" s="3">
        <v>32261</v>
      </c>
      <c r="C28" s="2">
        <v>19051</v>
      </c>
      <c r="D28" s="2">
        <v>12036</v>
      </c>
      <c r="E28" s="2">
        <v>1925</v>
      </c>
      <c r="F28" s="2">
        <v>20530</v>
      </c>
      <c r="G28" s="25">
        <v>13376</v>
      </c>
      <c r="H28" s="31">
        <v>99179</v>
      </c>
      <c r="I28" s="3">
        <v>1594</v>
      </c>
      <c r="J28" s="22">
        <v>100773</v>
      </c>
    </row>
    <row r="29" spans="1:10" x14ac:dyDescent="0.35">
      <c r="A29" s="17" t="s">
        <v>21</v>
      </c>
      <c r="B29" s="3">
        <v>59120</v>
      </c>
      <c r="C29" s="2">
        <v>30766</v>
      </c>
      <c r="D29" s="2">
        <v>15453</v>
      </c>
      <c r="E29" s="2">
        <v>4668</v>
      </c>
      <c r="F29" s="2">
        <v>20887</v>
      </c>
      <c r="G29" s="25">
        <v>12108</v>
      </c>
      <c r="H29" s="31">
        <v>143002</v>
      </c>
      <c r="I29" s="3">
        <v>1613</v>
      </c>
      <c r="J29" s="22">
        <v>144615</v>
      </c>
    </row>
    <row r="30" spans="1:10" x14ac:dyDescent="0.35">
      <c r="A30" s="17" t="s">
        <v>22</v>
      </c>
      <c r="B30" s="3">
        <v>98043</v>
      </c>
      <c r="C30" s="2">
        <v>52610</v>
      </c>
      <c r="D30" s="2">
        <v>7544</v>
      </c>
      <c r="E30" s="2">
        <v>6184</v>
      </c>
      <c r="F30" s="2">
        <v>13367</v>
      </c>
      <c r="G30" s="25">
        <v>11637</v>
      </c>
      <c r="H30" s="31">
        <v>189385</v>
      </c>
      <c r="I30" s="3">
        <v>938</v>
      </c>
      <c r="J30" s="22">
        <v>190323</v>
      </c>
    </row>
    <row r="31" spans="1:10" x14ac:dyDescent="0.35">
      <c r="A31" s="17" t="s">
        <v>23</v>
      </c>
      <c r="B31" s="3">
        <v>36737</v>
      </c>
      <c r="C31" s="2">
        <v>15104</v>
      </c>
      <c r="D31" s="2">
        <v>3447</v>
      </c>
      <c r="E31" s="2">
        <v>14332</v>
      </c>
      <c r="F31" s="2">
        <v>12213</v>
      </c>
      <c r="G31" s="25">
        <v>4027</v>
      </c>
      <c r="H31" s="31">
        <v>85860</v>
      </c>
      <c r="I31" s="3">
        <v>199</v>
      </c>
      <c r="J31" s="22">
        <v>86059</v>
      </c>
    </row>
    <row r="32" spans="1:10" x14ac:dyDescent="0.35">
      <c r="A32" s="17" t="s">
        <v>24</v>
      </c>
      <c r="B32" s="3">
        <v>20572</v>
      </c>
      <c r="C32" s="2">
        <v>6418</v>
      </c>
      <c r="D32" s="2">
        <v>973</v>
      </c>
      <c r="E32" s="2">
        <v>3300</v>
      </c>
      <c r="F32" s="2">
        <v>1128</v>
      </c>
      <c r="G32" s="25">
        <v>859</v>
      </c>
      <c r="H32" s="31">
        <v>33250</v>
      </c>
      <c r="I32" s="3">
        <v>0</v>
      </c>
      <c r="J32" s="22">
        <v>33250</v>
      </c>
    </row>
    <row r="33" spans="1:10" x14ac:dyDescent="0.35">
      <c r="A33" s="17" t="s">
        <v>25</v>
      </c>
      <c r="B33" s="2">
        <v>15750</v>
      </c>
      <c r="C33" s="2">
        <v>8184</v>
      </c>
      <c r="D33" s="2">
        <v>762</v>
      </c>
      <c r="E33" s="2">
        <v>1691</v>
      </c>
      <c r="F33" s="2">
        <v>2218</v>
      </c>
      <c r="G33" s="25">
        <v>1429</v>
      </c>
      <c r="H33" s="31">
        <v>30034</v>
      </c>
      <c r="I33" s="3">
        <v>0</v>
      </c>
      <c r="J33" s="22">
        <v>30034</v>
      </c>
    </row>
    <row r="34" spans="1:10" x14ac:dyDescent="0.35">
      <c r="A34" s="17" t="s">
        <v>40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1">
        <v>0</v>
      </c>
      <c r="I34" s="3">
        <v>0</v>
      </c>
      <c r="J34" s="18">
        <v>0</v>
      </c>
    </row>
    <row r="35" spans="1:10" ht="15" thickBot="1" x14ac:dyDescent="0.4">
      <c r="A35" s="17"/>
      <c r="B35" s="8"/>
      <c r="C35" s="9"/>
      <c r="D35" s="9"/>
      <c r="E35" s="9"/>
      <c r="F35" s="9"/>
      <c r="G35" s="27"/>
      <c r="H35" s="31"/>
      <c r="I35" s="3"/>
      <c r="J35" s="22"/>
    </row>
    <row r="36" spans="1:10" ht="15" thickBot="1" x14ac:dyDescent="0.4">
      <c r="A36" s="21" t="s">
        <v>26</v>
      </c>
      <c r="B36" s="33">
        <f>SUM(B25:B34)</f>
        <v>290185</v>
      </c>
      <c r="C36" s="33">
        <f t="shared" ref="C36:J36" si="1">SUM(C25:C34)</f>
        <v>152203</v>
      </c>
      <c r="D36" s="33">
        <f t="shared" si="1"/>
        <v>45354</v>
      </c>
      <c r="E36" s="33">
        <f t="shared" si="1"/>
        <v>33890</v>
      </c>
      <c r="F36" s="33">
        <f t="shared" si="1"/>
        <v>91702</v>
      </c>
      <c r="G36" s="34">
        <f t="shared" si="1"/>
        <v>55347</v>
      </c>
      <c r="H36" s="29">
        <f t="shared" si="1"/>
        <v>668681</v>
      </c>
      <c r="I36" s="33">
        <f t="shared" si="1"/>
        <v>5265</v>
      </c>
      <c r="J36" s="35">
        <f t="shared" si="1"/>
        <v>673946</v>
      </c>
    </row>
    <row r="37" spans="1:10" ht="15.5" thickTop="1" thickBot="1" x14ac:dyDescent="0.4">
      <c r="A37" s="10" t="s">
        <v>27</v>
      </c>
      <c r="B37" s="36">
        <f t="shared" ref="B37:J37" si="2">SUM(B24,B36)</f>
        <v>335973</v>
      </c>
      <c r="C37" s="36">
        <f t="shared" si="2"/>
        <v>190719</v>
      </c>
      <c r="D37" s="36">
        <f t="shared" si="2"/>
        <v>59658</v>
      </c>
      <c r="E37" s="36">
        <f t="shared" si="2"/>
        <v>38389</v>
      </c>
      <c r="F37" s="36">
        <f t="shared" si="2"/>
        <v>107197</v>
      </c>
      <c r="G37" s="37">
        <f t="shared" si="2"/>
        <v>69389</v>
      </c>
      <c r="H37" s="40">
        <f t="shared" si="2"/>
        <v>801325</v>
      </c>
      <c r="I37" s="36">
        <f t="shared" si="2"/>
        <v>6277</v>
      </c>
      <c r="J37" s="41">
        <f t="shared" si="2"/>
        <v>807602</v>
      </c>
    </row>
    <row r="38" spans="1:10" ht="15" thickTop="1" x14ac:dyDescent="0.35">
      <c r="B38" s="11"/>
    </row>
    <row r="39" spans="1:10" x14ac:dyDescent="0.35">
      <c r="A39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089a7ed5dfc46f6d59d6f98573b7f04e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0a96ca7fa418db7021a2fa6db73422e7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F10051-9E60-4328-8F1A-AD37DFBBA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4DEAA9-DFCD-42FF-9146-1B890CCED0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918B59-CAEC-4294-A265-296F9C804DBE}">
  <ds:schemaRefs>
    <ds:schemaRef ds:uri="http://schemas.microsoft.com/office/2006/metadata/properties"/>
    <ds:schemaRef ds:uri="http://purl.org/dc/elements/1.1/"/>
    <ds:schemaRef ds:uri="a5374dd2-0927-4bd2-a340-f6e987f88c1b"/>
    <ds:schemaRef ds:uri="http://schemas.openxmlformats.org/package/2006/metadata/core-properties"/>
    <ds:schemaRef ds:uri="http://schemas.microsoft.com/office/2006/documentManagement/types"/>
    <ds:schemaRef ds:uri="9a181063-d288-4bf7-a516-9175987917c8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42486 - Sel Res 201811</vt:lpstr>
      <vt:lpstr>42486 - Sel Res 201812</vt:lpstr>
      <vt:lpstr>42486 - Sel Res 201901</vt:lpstr>
      <vt:lpstr>42486 - Sel Res 201902</vt:lpstr>
      <vt:lpstr>42486 - Sel Res 201903</vt:lpstr>
      <vt:lpstr>42486 - Sel Res 201904</vt:lpstr>
      <vt:lpstr>42486 - Sel Res 201905</vt:lpstr>
      <vt:lpstr>42486 - Sel Res 201906</vt:lpstr>
      <vt:lpstr>42486 - Sel Res 201907</vt:lpstr>
      <vt:lpstr>42486 - Sel Res 201908</vt:lpstr>
      <vt:lpstr>42486 - Sel Res 201909</vt:lpstr>
      <vt:lpstr>'42486 - Sel Res 201811'!Print_Area</vt:lpstr>
      <vt:lpstr>'42486 - Sel Res 201812'!Print_Area</vt:lpstr>
      <vt:lpstr>'42486 - Sel Res 201901'!Print_Area</vt:lpstr>
      <vt:lpstr>'42486 - Sel Res 201902'!Print_Area</vt:lpstr>
      <vt:lpstr>'42486 - Sel Res 201903'!Print_Area</vt:lpstr>
      <vt:lpstr>'42486 - Sel Res 201904'!Print_Area</vt:lpstr>
      <vt:lpstr>'42486 - Sel Res 201905'!Print_Area</vt:lpstr>
      <vt:lpstr>'42486 - Sel Res 201906'!Print_Area</vt:lpstr>
      <vt:lpstr>'42486 - Sel Res 201907'!Print_Area</vt:lpstr>
      <vt:lpstr>'42486 - Sel Res 201908'!Print_Area</vt:lpstr>
      <vt:lpstr>'42486 - Sel Res 201909'!Print_Area</vt:lpstr>
    </vt:vector>
  </TitlesOfParts>
  <Company>Defense Manpower Data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Man K CIV DMDC</dc:creator>
  <cp:lastModifiedBy>Seggerman, Scott L CIV DMDC</cp:lastModifiedBy>
  <cp:lastPrinted>2019-09-27T19:33:59Z</cp:lastPrinted>
  <dcterms:created xsi:type="dcterms:W3CDTF">2012-07-23T22:14:11Z</dcterms:created>
  <dcterms:modified xsi:type="dcterms:W3CDTF">2022-10-06T19:16:30Z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