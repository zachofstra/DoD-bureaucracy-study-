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300" yWindow="2310" windowWidth="15600" windowHeight="7830" firstSheet="3" activeTab="11"/>
  </bookViews>
  <sheets>
    <sheet name="10-2012" sheetId="1" r:id="rId1"/>
    <sheet name="11-2012" sheetId="2" r:id="rId2"/>
    <sheet name="12-2012" sheetId="3" r:id="rId3"/>
    <sheet name="01-2013" sheetId="4" r:id="rId4"/>
    <sheet name="02-2013" sheetId="5" r:id="rId5"/>
    <sheet name="03-2013" sheetId="6" r:id="rId6"/>
    <sheet name="04-2013" sheetId="7" r:id="rId7"/>
    <sheet name="05-2013" sheetId="8" r:id="rId8"/>
    <sheet name="06-2013" sheetId="9" r:id="rId9"/>
    <sheet name="07-2013" sheetId="10" r:id="rId10"/>
    <sheet name="08-2013" sheetId="11" r:id="rId11"/>
    <sheet name="09-2013" sheetId="12" r:id="rId12"/>
  </sheets>
  <definedNames>
    <definedName name="_xlnm.Print_Area" localSheetId="0">'10-2012'!$A$1:$J$37</definedName>
  </definedNames>
  <calcPr calcId="145621"/>
</workbook>
</file>

<file path=xl/calcChain.xml><?xml version="1.0" encoding="utf-8"?>
<calcChain xmlns="http://schemas.openxmlformats.org/spreadsheetml/2006/main">
  <c r="J36" i="12" l="1"/>
  <c r="I36" i="12"/>
  <c r="H36" i="12"/>
  <c r="G36" i="12"/>
  <c r="F36" i="12"/>
  <c r="E36" i="12"/>
  <c r="D36" i="12"/>
  <c r="C36" i="12"/>
  <c r="B36" i="12"/>
  <c r="J24" i="12"/>
  <c r="J37" i="12" s="1"/>
  <c r="I24" i="12"/>
  <c r="I37" i="12" s="1"/>
  <c r="H24" i="12"/>
  <c r="H37" i="12" s="1"/>
  <c r="G24" i="12"/>
  <c r="G37" i="12" s="1"/>
  <c r="F24" i="12"/>
  <c r="F37" i="12" s="1"/>
  <c r="E24" i="12"/>
  <c r="E37" i="12" s="1"/>
  <c r="D24" i="12"/>
  <c r="C24" i="12"/>
  <c r="B24" i="12"/>
  <c r="B37" i="12" s="1"/>
  <c r="J36" i="11"/>
  <c r="I36" i="11"/>
  <c r="H36" i="11"/>
  <c r="G36" i="11"/>
  <c r="F36" i="11"/>
  <c r="E36" i="11"/>
  <c r="D36" i="11"/>
  <c r="C36" i="11"/>
  <c r="B36" i="11"/>
  <c r="J24" i="11"/>
  <c r="J37" i="11" s="1"/>
  <c r="I24" i="11"/>
  <c r="I37" i="11" s="1"/>
  <c r="H24" i="11"/>
  <c r="H37" i="11" s="1"/>
  <c r="G24" i="11"/>
  <c r="G37" i="11" s="1"/>
  <c r="F24" i="11"/>
  <c r="F37" i="11" s="1"/>
  <c r="E24" i="11"/>
  <c r="D24" i="11"/>
  <c r="D37" i="11" s="1"/>
  <c r="C24" i="11"/>
  <c r="B24" i="11"/>
  <c r="B37" i="11" s="1"/>
  <c r="J36" i="10"/>
  <c r="I36" i="10"/>
  <c r="H36" i="10"/>
  <c r="G36" i="10"/>
  <c r="F36" i="10"/>
  <c r="E36" i="10"/>
  <c r="D36" i="10"/>
  <c r="C36" i="10"/>
  <c r="B36" i="10"/>
  <c r="J24" i="10"/>
  <c r="J37" i="10" s="1"/>
  <c r="I24" i="10"/>
  <c r="I37" i="10" s="1"/>
  <c r="H24" i="10"/>
  <c r="H37" i="10" s="1"/>
  <c r="G24" i="10"/>
  <c r="G37" i="10" s="1"/>
  <c r="F24" i="10"/>
  <c r="F37" i="10" s="1"/>
  <c r="E24" i="10"/>
  <c r="E37" i="10" s="1"/>
  <c r="D24" i="10"/>
  <c r="C24" i="10"/>
  <c r="B24" i="10"/>
  <c r="B37" i="10" s="1"/>
  <c r="J36" i="9"/>
  <c r="I36" i="9"/>
  <c r="H36" i="9"/>
  <c r="G36" i="9"/>
  <c r="F36" i="9"/>
  <c r="E36" i="9"/>
  <c r="D36" i="9"/>
  <c r="C36" i="9"/>
  <c r="B36" i="9"/>
  <c r="J24" i="9"/>
  <c r="J37" i="9" s="1"/>
  <c r="I24" i="9"/>
  <c r="I37" i="9" s="1"/>
  <c r="H24" i="9"/>
  <c r="H37" i="9" s="1"/>
  <c r="G24" i="9"/>
  <c r="F24" i="9"/>
  <c r="F37" i="9" s="1"/>
  <c r="E24" i="9"/>
  <c r="E37" i="9" s="1"/>
  <c r="D24" i="9"/>
  <c r="D37" i="9" s="1"/>
  <c r="C24" i="9"/>
  <c r="B24" i="9"/>
  <c r="B37" i="9" s="1"/>
  <c r="J36" i="8"/>
  <c r="I36" i="8"/>
  <c r="H36" i="8"/>
  <c r="G36" i="8"/>
  <c r="F36" i="8"/>
  <c r="E36" i="8"/>
  <c r="D36" i="8"/>
  <c r="C36" i="8"/>
  <c r="B36" i="8"/>
  <c r="J24" i="8"/>
  <c r="J37" i="8" s="1"/>
  <c r="I24" i="8"/>
  <c r="I37" i="8" s="1"/>
  <c r="H24" i="8"/>
  <c r="H37" i="8" s="1"/>
  <c r="G24" i="8"/>
  <c r="G37" i="8" s="1"/>
  <c r="F24" i="8"/>
  <c r="F37" i="8" s="1"/>
  <c r="E24" i="8"/>
  <c r="E37" i="8" s="1"/>
  <c r="D24" i="8"/>
  <c r="C24" i="8"/>
  <c r="B24" i="8"/>
  <c r="B37" i="8" s="1"/>
  <c r="J36" i="7"/>
  <c r="I36" i="7"/>
  <c r="H36" i="7"/>
  <c r="G36" i="7"/>
  <c r="F36" i="7"/>
  <c r="E36" i="7"/>
  <c r="D36" i="7"/>
  <c r="C36" i="7"/>
  <c r="B36" i="7"/>
  <c r="J24" i="7"/>
  <c r="J37" i="7" s="1"/>
  <c r="I24" i="7"/>
  <c r="I37" i="7" s="1"/>
  <c r="H24" i="7"/>
  <c r="H37" i="7" s="1"/>
  <c r="G24" i="7"/>
  <c r="G37" i="7" s="1"/>
  <c r="F24" i="7"/>
  <c r="F37" i="7" s="1"/>
  <c r="E24" i="7"/>
  <c r="E37" i="7" s="1"/>
  <c r="D24" i="7"/>
  <c r="C24" i="7"/>
  <c r="B24" i="7"/>
  <c r="B37" i="7" s="1"/>
  <c r="J36" i="6"/>
  <c r="I36" i="6"/>
  <c r="H36" i="6"/>
  <c r="G36" i="6"/>
  <c r="F36" i="6"/>
  <c r="E36" i="6"/>
  <c r="D36" i="6"/>
  <c r="C36" i="6"/>
  <c r="B36" i="6"/>
  <c r="J24" i="6"/>
  <c r="J37" i="6" s="1"/>
  <c r="I24" i="6"/>
  <c r="I37" i="6" s="1"/>
  <c r="H24" i="6"/>
  <c r="H37" i="6" s="1"/>
  <c r="G24" i="6"/>
  <c r="G37" i="6" s="1"/>
  <c r="F24" i="6"/>
  <c r="F37" i="6" s="1"/>
  <c r="E24" i="6"/>
  <c r="E37" i="6" s="1"/>
  <c r="D24" i="6"/>
  <c r="D37" i="6" s="1"/>
  <c r="C24" i="6"/>
  <c r="B24" i="6"/>
  <c r="B37" i="6" s="1"/>
  <c r="J36" i="5"/>
  <c r="I36" i="5"/>
  <c r="H36" i="5"/>
  <c r="G36" i="5"/>
  <c r="F36" i="5"/>
  <c r="E36" i="5"/>
  <c r="D36" i="5"/>
  <c r="C36" i="5"/>
  <c r="B36" i="5"/>
  <c r="J24" i="5"/>
  <c r="J37" i="5" s="1"/>
  <c r="I24" i="5"/>
  <c r="I37" i="5" s="1"/>
  <c r="H24" i="5"/>
  <c r="H37" i="5" s="1"/>
  <c r="G24" i="5"/>
  <c r="G37" i="5" s="1"/>
  <c r="F24" i="5"/>
  <c r="F37" i="5" s="1"/>
  <c r="E24" i="5"/>
  <c r="E37" i="5" s="1"/>
  <c r="D24" i="5"/>
  <c r="C24" i="5"/>
  <c r="B24" i="5"/>
  <c r="B37" i="5" s="1"/>
  <c r="J36" i="4"/>
  <c r="I36" i="4"/>
  <c r="H36" i="4"/>
  <c r="G36" i="4"/>
  <c r="F36" i="4"/>
  <c r="E36" i="4"/>
  <c r="D36" i="4"/>
  <c r="C36" i="4"/>
  <c r="B36" i="4"/>
  <c r="J24" i="4"/>
  <c r="J37" i="4" s="1"/>
  <c r="I24" i="4"/>
  <c r="I37" i="4" s="1"/>
  <c r="H24" i="4"/>
  <c r="H37" i="4" s="1"/>
  <c r="G24" i="4"/>
  <c r="G37" i="4" s="1"/>
  <c r="F24" i="4"/>
  <c r="F37" i="4" s="1"/>
  <c r="E24" i="4"/>
  <c r="D24" i="4"/>
  <c r="D37" i="4" s="1"/>
  <c r="C24" i="4"/>
  <c r="B24" i="4"/>
  <c r="B37" i="4" s="1"/>
  <c r="J36" i="3"/>
  <c r="I36" i="3"/>
  <c r="H36" i="3"/>
  <c r="G36" i="3"/>
  <c r="F36" i="3"/>
  <c r="E36" i="3"/>
  <c r="D36" i="3"/>
  <c r="C36" i="3"/>
  <c r="B36" i="3"/>
  <c r="J24" i="3"/>
  <c r="J37" i="3" s="1"/>
  <c r="I24" i="3"/>
  <c r="I37" i="3" s="1"/>
  <c r="H24" i="3"/>
  <c r="H37" i="3" s="1"/>
  <c r="G24" i="3"/>
  <c r="G37" i="3" s="1"/>
  <c r="F24" i="3"/>
  <c r="F37" i="3" s="1"/>
  <c r="E24" i="3"/>
  <c r="E37" i="3" s="1"/>
  <c r="D24" i="3"/>
  <c r="C24" i="3"/>
  <c r="B24" i="3"/>
  <c r="B37" i="3" s="1"/>
  <c r="J36" i="2"/>
  <c r="I36" i="2"/>
  <c r="H36" i="2"/>
  <c r="G36" i="2"/>
  <c r="F36" i="2"/>
  <c r="E36" i="2"/>
  <c r="D36" i="2"/>
  <c r="C36" i="2"/>
  <c r="B36" i="2"/>
  <c r="J24" i="2"/>
  <c r="J37" i="2" s="1"/>
  <c r="I24" i="2"/>
  <c r="I37" i="2" s="1"/>
  <c r="H24" i="2"/>
  <c r="H37" i="2" s="1"/>
  <c r="G24" i="2"/>
  <c r="G37" i="2" s="1"/>
  <c r="F24" i="2"/>
  <c r="E24" i="2"/>
  <c r="E37" i="2" s="1"/>
  <c r="D24" i="2"/>
  <c r="D37" i="2" s="1"/>
  <c r="C24" i="2"/>
  <c r="B24" i="2"/>
  <c r="B37" i="2" s="1"/>
  <c r="C37" i="12" l="1"/>
  <c r="D37" i="12"/>
  <c r="C37" i="11"/>
  <c r="E37" i="11"/>
  <c r="C37" i="10"/>
  <c r="D37" i="10"/>
  <c r="C37" i="9"/>
  <c r="G37" i="9"/>
  <c r="C37" i="8"/>
  <c r="D37" i="8"/>
  <c r="C37" i="7"/>
  <c r="D37" i="7"/>
  <c r="C37" i="6"/>
  <c r="C37" i="5"/>
  <c r="D37" i="5"/>
  <c r="C37" i="4"/>
  <c r="E37" i="4"/>
  <c r="C37" i="3"/>
  <c r="D37" i="3"/>
  <c r="F37" i="2"/>
  <c r="C37" i="2"/>
  <c r="C36" i="1"/>
  <c r="D36" i="1"/>
  <c r="E36" i="1"/>
  <c r="F36" i="1"/>
  <c r="G36" i="1"/>
  <c r="H36" i="1"/>
  <c r="I36" i="1"/>
  <c r="J36" i="1"/>
  <c r="J37" i="1" s="1"/>
  <c r="B36" i="1"/>
  <c r="C24" i="1"/>
  <c r="C37" i="1" s="1"/>
  <c r="D24" i="1"/>
  <c r="D37" i="1" s="1"/>
  <c r="E24" i="1"/>
  <c r="E37" i="1" s="1"/>
  <c r="F24" i="1"/>
  <c r="G24" i="1"/>
  <c r="G37" i="1" s="1"/>
  <c r="H24" i="1"/>
  <c r="H37" i="1" s="1"/>
  <c r="I24" i="1"/>
  <c r="J24" i="1"/>
  <c r="B24" i="1"/>
  <c r="F37" i="1" l="1"/>
  <c r="I37" i="1"/>
  <c r="B37" i="1"/>
</calcChain>
</file>

<file path=xl/sharedStrings.xml><?xml version="1.0" encoding="utf-8"?>
<sst xmlns="http://schemas.openxmlformats.org/spreadsheetml/2006/main" count="528" uniqueCount="54">
  <si>
    <t>Rank/Grade</t>
  </si>
  <si>
    <t>GENERAL       -ADMIRAL</t>
  </si>
  <si>
    <t>LT GENERAL    -VICE ADMIRAL</t>
  </si>
  <si>
    <t>MAJ GENERAL   -REAR ADMIRAL(U)</t>
  </si>
  <si>
    <t>BRIG GENERAL  -REAR ADMIRAL(L)</t>
  </si>
  <si>
    <t>COLONEL       -CAPTAIN</t>
  </si>
  <si>
    <t>LIEUTENANT COL-COMMANDER</t>
  </si>
  <si>
    <t>MAJOR         -LT COMMANDER</t>
  </si>
  <si>
    <t>CAPTAIN       -LIEUTENANT</t>
  </si>
  <si>
    <t>Ist LIEUTENANT-LIEUTENANT(JG)</t>
  </si>
  <si>
    <t>2nd LIEUTENANT-ENSIGN</t>
  </si>
  <si>
    <t>CHIEF WARRANT OFFICER W-5</t>
  </si>
  <si>
    <t>CHIEF WARRANT OFFICER W-4</t>
  </si>
  <si>
    <t>CHIEF WARRANT OFFICER W-3</t>
  </si>
  <si>
    <t>CHIEF WARRANT OFFICER W-2</t>
  </si>
  <si>
    <t>WARRANT OFFICER W-1</t>
  </si>
  <si>
    <t>TOTAL OFFICER</t>
  </si>
  <si>
    <t>E-9</t>
  </si>
  <si>
    <t>E-8</t>
  </si>
  <si>
    <t>E-7</t>
  </si>
  <si>
    <t>E-6</t>
  </si>
  <si>
    <t>E-5</t>
  </si>
  <si>
    <t>E-4</t>
  </si>
  <si>
    <t>E-3</t>
  </si>
  <si>
    <t>E-2</t>
  </si>
  <si>
    <t>E-1</t>
  </si>
  <si>
    <t>TOTAL ENLISTED</t>
  </si>
  <si>
    <t>GRAND TOTAL</t>
  </si>
  <si>
    <t>Department of Defense</t>
  </si>
  <si>
    <t xml:space="preserve"> </t>
  </si>
  <si>
    <t>Selected Reserves by Rank/Grade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</si>
  <si>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</si>
  <si>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</si>
  <si>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</si>
  <si>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</si>
  <si>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</si>
  <si>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</si>
  <si>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Total DoD</t>
  </si>
  <si>
    <t>Coast Guard Reserve</t>
  </si>
  <si>
    <t>TOTAL</t>
  </si>
  <si>
    <t xml:space="preserve"> October 31, 2012</t>
  </si>
  <si>
    <t xml:space="preserve"> November 30, 2012</t>
  </si>
  <si>
    <t xml:space="preserve"> December 31, 2012</t>
  </si>
  <si>
    <t xml:space="preserve"> January 31, 2013</t>
  </si>
  <si>
    <t xml:space="preserve"> February 28, 2013</t>
  </si>
  <si>
    <t xml:space="preserve"> March 31, 2013</t>
  </si>
  <si>
    <t xml:space="preserve"> April 30, 2013</t>
  </si>
  <si>
    <t xml:space="preserve"> May 31, 2013</t>
  </si>
  <si>
    <t xml:space="preserve"> June 30, 2013</t>
  </si>
  <si>
    <t xml:space="preserve"> July 31, 2013</t>
  </si>
  <si>
    <t xml:space="preserve"> August 31, 2013</t>
  </si>
  <si>
    <t xml:space="preserve"> September 30, 2013</t>
  </si>
  <si>
    <t>OFFICER UNKNOWN GRADE</t>
  </si>
  <si>
    <t>ENLISTED UNKNOWN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</si>
</sst>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Courier New"/>
      <family val="3"/>
    </font>
    <font>
      <b/>
      <sz val="10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9" fillId="0" borderId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1" fillId="0" borderId="0"/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5" fillId="0" borderId="0"/>
  </cellStyleXfs>
  <cellXfs count="14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3" fontId="0" fillId="0" borderId="10" xfId="0" applyNumberFormat="1" applyBorder="1"/>
    <xf numFmtId="3" fontId="0" fillId="0" borderId="12" xfId="0" applyNumberFormat="1" applyBorder="1"/>
    <xf numFmtId="3" fontId="0" fillId="0" borderId="11" xfId="0" applyNumberFormat="1" applyBorder="1"/>
    <xf numFmtId="3" fontId="0" fillId="0" borderId="13" xfId="0" applyNumberFormat="1" applyBorder="1"/>
    <xf numFmtId="0" fontId="27" fillId="0" borderId="15" xfId="0" applyFont="1" applyBorder="1"/>
    <xf numFmtId="3" fontId="0" fillId="0" borderId="0" xfId="0" applyNumberFormat="1"/>
    <xf numFmtId="0" fontId="0" fillId="0" borderId="0" xfId="0" applyAlignment="1">
      <alignment wrapText="1"/>
    </xf>
    <xf numFmtId="0" fontId="30" fillId="0" borderId="21" xfId="0" applyFont="1" applyBorder="1" applyAlignment="1">
      <alignment horizontal="center" wrapText="1"/>
    </xf>
    <xf numFmtId="0" fontId="30" fillId="0" borderId="20" xfId="0" applyFont="1" applyFill="1" applyBorder="1" applyAlignment="1">
      <alignment horizontal="center" wrapText="1"/>
    </xf>
    <xf numFmtId="0" fontId="30" fillId="0" borderId="29" xfId="0" applyFont="1" applyBorder="1" applyAlignment="1">
      <alignment vertical="center" wrapText="1"/>
    </xf>
    <xf numFmtId="0" fontId="30" fillId="0" borderId="30" xfId="0" applyFont="1" applyBorder="1" applyAlignment="1">
      <alignment horizontal="center" wrapText="1"/>
    </xf>
    <xf numFmtId="0" fontId="26" fillId="0" borderId="29" xfId="0" applyFont="1" applyBorder="1"/>
    <xf numFmtId="0" fontId="27" fillId="0" borderId="29" xfId="0" applyFont="1" applyBorder="1"/>
    <xf numFmtId="0" fontId="27" fillId="0" borderId="31" xfId="0" applyFont="1" applyBorder="1"/>
    <xf numFmtId="0" fontId="30" fillId="0" borderId="21" xfId="0" applyFont="1" applyFill="1" applyBorder="1" applyAlignment="1">
      <alignment horizontal="center" wrapText="1"/>
    </xf>
    <xf numFmtId="3" fontId="0" fillId="0" borderId="17" xfId="0" applyNumberFormat="1" applyBorder="1"/>
    <xf numFmtId="3" fontId="0" fillId="0" borderId="18" xfId="0" applyNumberFormat="1" applyBorder="1"/>
    <xf numFmtId="0" fontId="30" fillId="0" borderId="33" xfId="0" applyFont="1" applyFill="1" applyBorder="1" applyAlignment="1">
      <alignment horizontal="center" wrapText="1"/>
    </xf>
    <xf numFmtId="0" fontId="30" fillId="2" borderId="32" xfId="0" applyFont="1" applyFill="1" applyBorder="1" applyAlignment="1">
      <alignment horizontal="center" wrapText="1"/>
    </xf>
    <xf numFmtId="3" fontId="1" fillId="2" borderId="14" xfId="0" applyNumberFormat="1" applyFont="1" applyFill="1" applyBorder="1"/>
    <xf numFmtId="3" fontId="1" fillId="34" borderId="16" xfId="0" applyNumberFormat="1" applyFont="1" applyFill="1" applyBorder="1" applyAlignment="1">
      <alignment vertical="center"/>
    </xf>
    <xf numFmtId="0" fontId="0" fillId="0" borderId="18" xfId="0" applyBorder="1"/>
    <xf numFmtId="3" fontId="0" fillId="2" borderId="34" xfId="0" applyNumberFormat="1" applyFill="1" applyBorder="1" applyAlignment="1">
      <alignment vertical="top" wrapText="1"/>
    </xf>
    <xf numFmtId="0" fontId="0" fillId="2" borderId="34" xfId="0" applyFill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0" fillId="0" borderId="34" xfId="0" applyBorder="1" applyAlignment="1">
      <alignment vertical="top" wrapText="1"/>
    </xf>
    <xf numFmtId="3" fontId="0" fillId="0" borderId="34" xfId="0" applyNumberFormat="1" applyBorder="1" applyAlignment="1">
      <alignment vertical="top" wrapText="1"/>
    </xf>
    <xf numFmtId="0" fontId="0" fillId="0" borderId="35" xfId="0" applyBorder="1" applyAlignment="1">
      <alignment vertical="top" wrapText="1"/>
    </xf>
    <xf numFmtId="3" fontId="0" fillId="0" borderId="35" xfId="0" applyNumberFormat="1" applyBorder="1" applyAlignment="1">
      <alignment vertical="top" wrapText="1"/>
    </xf>
    <xf numFmtId="0" fontId="28" fillId="0" borderId="22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15" fontId="29" fillId="0" borderId="25" xfId="0" quotePrefix="1" applyNumberFormat="1" applyFont="1" applyBorder="1" applyAlignment="1">
      <alignment horizontal="center"/>
    </xf>
    <xf numFmtId="15" fontId="29" fillId="0" borderId="0" xfId="0" quotePrefix="1" applyNumberFormat="1" applyFont="1" applyBorder="1" applyAlignment="1">
      <alignment horizontal="center"/>
    </xf>
    <xf numFmtId="15" fontId="29" fillId="0" borderId="26" xfId="0" quotePrefix="1" applyNumberFormat="1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0" fillId="2" borderId="27" xfId="0" applyFont="1" applyFill="1" applyBorder="1" applyAlignment="1">
      <alignment horizontal="center"/>
    </xf>
    <xf numFmtId="0" fontId="0" fillId="2" borderId="19" xfId="0" applyFont="1" applyFill="1" applyBorder="1" applyAlignment="1">
      <alignment horizontal="center"/>
    </xf>
    <xf numFmtId="0" fontId="0" fillId="2" borderId="28" xfId="0" applyFont="1" applyFill="1" applyBorder="1" applyAlignment="1">
      <alignment horizontal="center"/>
    </xf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/>
    <cellStyle name="Comma 2 2" xfId="51"/>
    <cellStyle name="Comma 2 3" xfId="53"/>
    <cellStyle name="Comma 3" xfId="45"/>
    <cellStyle name="Comma 3 2" xfId="56"/>
    <cellStyle name="Comma 4" xfId="55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7"/>
    <cellStyle name="Normal 5" xfId="48"/>
    <cellStyle name="Normal 6" xfId="50"/>
    <cellStyle name="Normal 7" xfId="52"/>
    <cellStyle name="Normal 8" xfId="54"/>
    <cellStyle name="Normal 9" xfId="57"/>
    <cellStyle name="Note" xfId="15" builtinId="10" customBuiltin="1"/>
    <cellStyle name="Output" xfId="10" builtinId="21" customBuiltin="1"/>
    <cellStyle name="Percent 2" xfId="46"/>
    <cellStyle name="Percent 3" xfId="49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41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40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s="9" customFormat="1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29">
        <v>1</v>
      </c>
      <c r="C7" s="29">
        <v>0</v>
      </c>
      <c r="D7" s="29">
        <v>0</v>
      </c>
      <c r="E7" s="29">
        <v>0</v>
      </c>
      <c r="F7" s="29">
        <v>1</v>
      </c>
      <c r="G7" s="29">
        <v>0</v>
      </c>
      <c r="H7" s="26">
        <v>2</v>
      </c>
      <c r="I7" s="29">
        <v>0</v>
      </c>
      <c r="J7" s="31">
        <v>2</v>
      </c>
    </row>
    <row r="8" spans="1:10" x14ac:dyDescent="0.25">
      <c r="A8" s="14" t="s">
        <v>2</v>
      </c>
      <c r="B8" s="29">
        <v>1</v>
      </c>
      <c r="C8" s="29">
        <v>0</v>
      </c>
      <c r="D8" s="29">
        <v>0</v>
      </c>
      <c r="E8" s="29">
        <v>0</v>
      </c>
      <c r="F8" s="29">
        <v>4</v>
      </c>
      <c r="G8" s="29">
        <v>0</v>
      </c>
      <c r="H8" s="26">
        <v>5</v>
      </c>
      <c r="I8" s="29">
        <v>0</v>
      </c>
      <c r="J8" s="31">
        <v>5</v>
      </c>
    </row>
    <row r="9" spans="1:10" x14ac:dyDescent="0.25">
      <c r="A9" s="14" t="s">
        <v>3</v>
      </c>
      <c r="B9" s="29">
        <v>64</v>
      </c>
      <c r="C9" s="29">
        <v>36</v>
      </c>
      <c r="D9" s="29">
        <v>22</v>
      </c>
      <c r="E9" s="29">
        <v>5</v>
      </c>
      <c r="F9" s="29">
        <v>28</v>
      </c>
      <c r="G9" s="29">
        <v>26</v>
      </c>
      <c r="H9" s="26">
        <v>181</v>
      </c>
      <c r="I9" s="29">
        <v>2</v>
      </c>
      <c r="J9" s="31">
        <v>183</v>
      </c>
    </row>
    <row r="10" spans="1:10" x14ac:dyDescent="0.25">
      <c r="A10" s="14" t="s">
        <v>4</v>
      </c>
      <c r="B10" s="29">
        <v>154</v>
      </c>
      <c r="C10" s="29">
        <v>65</v>
      </c>
      <c r="D10" s="29">
        <v>37</v>
      </c>
      <c r="E10" s="29">
        <v>7</v>
      </c>
      <c r="F10" s="29">
        <v>115</v>
      </c>
      <c r="G10" s="29">
        <v>55</v>
      </c>
      <c r="H10" s="26">
        <v>433</v>
      </c>
      <c r="I10" s="29">
        <v>1</v>
      </c>
      <c r="J10" s="31">
        <v>434</v>
      </c>
    </row>
    <row r="11" spans="1:10" x14ac:dyDescent="0.25">
      <c r="A11" s="14" t="s">
        <v>5</v>
      </c>
      <c r="B11" s="30">
        <v>1461</v>
      </c>
      <c r="C11" s="30">
        <v>1721</v>
      </c>
      <c r="D11" s="30">
        <v>1412</v>
      </c>
      <c r="E11" s="29">
        <v>318</v>
      </c>
      <c r="F11" s="29">
        <v>971</v>
      </c>
      <c r="G11" s="30">
        <v>1137</v>
      </c>
      <c r="H11" s="25">
        <v>7020</v>
      </c>
      <c r="I11" s="29">
        <v>41</v>
      </c>
      <c r="J11" s="32">
        <v>7061</v>
      </c>
    </row>
    <row r="12" spans="1:10" x14ac:dyDescent="0.25">
      <c r="A12" s="14" t="s">
        <v>6</v>
      </c>
      <c r="B12" s="30">
        <v>3857</v>
      </c>
      <c r="C12" s="30">
        <v>5898</v>
      </c>
      <c r="D12" s="30">
        <v>3334</v>
      </c>
      <c r="E12" s="29">
        <v>964</v>
      </c>
      <c r="F12" s="30">
        <v>4180</v>
      </c>
      <c r="G12" s="30">
        <v>4433</v>
      </c>
      <c r="H12" s="25">
        <v>22666</v>
      </c>
      <c r="I12" s="29">
        <v>184</v>
      </c>
      <c r="J12" s="32">
        <v>22850</v>
      </c>
    </row>
    <row r="13" spans="1:10" x14ac:dyDescent="0.25">
      <c r="A13" s="14" t="s">
        <v>7</v>
      </c>
      <c r="B13" s="30">
        <v>6266</v>
      </c>
      <c r="C13" s="30">
        <v>6296</v>
      </c>
      <c r="D13" s="30">
        <v>4235</v>
      </c>
      <c r="E13" s="30">
        <v>1085</v>
      </c>
      <c r="F13" s="30">
        <v>3944</v>
      </c>
      <c r="G13" s="30">
        <v>4671</v>
      </c>
      <c r="H13" s="25">
        <v>26497</v>
      </c>
      <c r="I13" s="29">
        <v>260</v>
      </c>
      <c r="J13" s="32">
        <v>26757</v>
      </c>
    </row>
    <row r="14" spans="1:10" x14ac:dyDescent="0.25">
      <c r="A14" s="14" t="s">
        <v>8</v>
      </c>
      <c r="B14" s="30">
        <v>10509</v>
      </c>
      <c r="C14" s="30">
        <v>10499</v>
      </c>
      <c r="D14" s="30">
        <v>3540</v>
      </c>
      <c r="E14" s="29">
        <v>859</v>
      </c>
      <c r="F14" s="30">
        <v>3215</v>
      </c>
      <c r="G14" s="30">
        <v>3055</v>
      </c>
      <c r="H14" s="25">
        <v>31677</v>
      </c>
      <c r="I14" s="29">
        <v>503</v>
      </c>
      <c r="J14" s="32">
        <v>32180</v>
      </c>
    </row>
    <row r="15" spans="1:10" x14ac:dyDescent="0.25">
      <c r="A15" s="14" t="s">
        <v>9</v>
      </c>
      <c r="B15" s="30">
        <v>8043</v>
      </c>
      <c r="C15" s="30">
        <v>4650</v>
      </c>
      <c r="D15" s="29">
        <v>986</v>
      </c>
      <c r="E15" s="29">
        <v>183</v>
      </c>
      <c r="F15" s="30">
        <v>1117</v>
      </c>
      <c r="G15" s="29">
        <v>517</v>
      </c>
      <c r="H15" s="25">
        <v>15496</v>
      </c>
      <c r="I15" s="29">
        <v>92</v>
      </c>
      <c r="J15" s="32">
        <v>15588</v>
      </c>
    </row>
    <row r="16" spans="1:10" x14ac:dyDescent="0.25">
      <c r="A16" s="14" t="s">
        <v>10</v>
      </c>
      <c r="B16" s="30">
        <v>5663</v>
      </c>
      <c r="C16" s="30">
        <v>2741</v>
      </c>
      <c r="D16" s="29">
        <v>709</v>
      </c>
      <c r="E16" s="29">
        <v>238</v>
      </c>
      <c r="F16" s="30">
        <v>1082</v>
      </c>
      <c r="G16" s="29">
        <v>354</v>
      </c>
      <c r="H16" s="25">
        <v>10787</v>
      </c>
      <c r="I16" s="29">
        <v>83</v>
      </c>
      <c r="J16" s="32">
        <v>10870</v>
      </c>
    </row>
    <row r="17" spans="1:10" x14ac:dyDescent="0.25">
      <c r="A17" s="14" t="s">
        <v>11</v>
      </c>
      <c r="B17" s="29">
        <v>381</v>
      </c>
      <c r="C17" s="29">
        <v>84</v>
      </c>
      <c r="D17" s="29">
        <v>0</v>
      </c>
      <c r="E17" s="29">
        <v>14</v>
      </c>
      <c r="F17" s="29">
        <v>0</v>
      </c>
      <c r="G17" s="29">
        <v>0</v>
      </c>
      <c r="H17" s="26">
        <v>479</v>
      </c>
      <c r="I17" s="29">
        <v>0</v>
      </c>
      <c r="J17" s="31">
        <v>479</v>
      </c>
    </row>
    <row r="18" spans="1:10" x14ac:dyDescent="0.25">
      <c r="A18" s="14" t="s">
        <v>12</v>
      </c>
      <c r="B18" s="30">
        <v>1361</v>
      </c>
      <c r="C18" s="29">
        <v>625</v>
      </c>
      <c r="D18" s="29">
        <v>18</v>
      </c>
      <c r="E18" s="29">
        <v>42</v>
      </c>
      <c r="F18" s="29">
        <v>0</v>
      </c>
      <c r="G18" s="29">
        <v>0</v>
      </c>
      <c r="H18" s="25">
        <v>2046</v>
      </c>
      <c r="I18" s="29">
        <v>31</v>
      </c>
      <c r="J18" s="32">
        <v>2077</v>
      </c>
    </row>
    <row r="19" spans="1:10" x14ac:dyDescent="0.25">
      <c r="A19" s="14" t="s">
        <v>13</v>
      </c>
      <c r="B19" s="30">
        <v>1723</v>
      </c>
      <c r="C19" s="29">
        <v>547</v>
      </c>
      <c r="D19" s="29">
        <v>35</v>
      </c>
      <c r="E19" s="29">
        <v>88</v>
      </c>
      <c r="F19" s="29">
        <v>0</v>
      </c>
      <c r="G19" s="29">
        <v>0</v>
      </c>
      <c r="H19" s="25">
        <v>2393</v>
      </c>
      <c r="I19" s="29">
        <v>48</v>
      </c>
      <c r="J19" s="32">
        <v>2441</v>
      </c>
    </row>
    <row r="20" spans="1:10" x14ac:dyDescent="0.25">
      <c r="A20" s="14" t="s">
        <v>14</v>
      </c>
      <c r="B20" s="30">
        <v>3493</v>
      </c>
      <c r="C20" s="30">
        <v>1484</v>
      </c>
      <c r="D20" s="29">
        <v>39</v>
      </c>
      <c r="E20" s="29">
        <v>137</v>
      </c>
      <c r="F20" s="29">
        <v>0</v>
      </c>
      <c r="G20" s="29">
        <v>0</v>
      </c>
      <c r="H20" s="25">
        <v>5153</v>
      </c>
      <c r="I20" s="29">
        <v>77</v>
      </c>
      <c r="J20" s="32">
        <v>5230</v>
      </c>
    </row>
    <row r="21" spans="1:10" x14ac:dyDescent="0.25">
      <c r="A21" s="14" t="s">
        <v>15</v>
      </c>
      <c r="B21" s="30">
        <v>1336</v>
      </c>
      <c r="C21" s="29">
        <v>490</v>
      </c>
      <c r="D21" s="29">
        <v>0</v>
      </c>
      <c r="E21" s="29">
        <v>18</v>
      </c>
      <c r="F21" s="29">
        <v>0</v>
      </c>
      <c r="G21" s="29">
        <v>0</v>
      </c>
      <c r="H21" s="25">
        <v>1844</v>
      </c>
      <c r="I21" s="29">
        <v>0</v>
      </c>
      <c r="J21" s="32">
        <v>1844</v>
      </c>
    </row>
    <row r="22" spans="1:10" x14ac:dyDescent="0.25">
      <c r="A22" s="14" t="s">
        <v>52</v>
      </c>
      <c r="B22" s="29">
        <v>0</v>
      </c>
      <c r="C22" s="29">
        <v>0</v>
      </c>
      <c r="D22" s="29">
        <v>0</v>
      </c>
      <c r="E22" s="29">
        <v>0</v>
      </c>
      <c r="F22" s="29">
        <v>1</v>
      </c>
      <c r="G22" s="29">
        <v>0</v>
      </c>
      <c r="H22" s="26">
        <v>1</v>
      </c>
      <c r="I22" s="29">
        <v>0</v>
      </c>
      <c r="J22" s="31">
        <v>1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28"/>
    </row>
    <row r="24" spans="1:10" ht="24.95" customHeight="1" thickBot="1" x14ac:dyDescent="0.3">
      <c r="A24" s="16" t="s">
        <v>16</v>
      </c>
      <c r="B24" s="22">
        <f>SUM(B7:B22)</f>
        <v>44313</v>
      </c>
      <c r="C24" s="22">
        <f t="shared" ref="C24:J24" si="0">SUM(C7:C22)</f>
        <v>35136</v>
      </c>
      <c r="D24" s="22">
        <f t="shared" si="0"/>
        <v>14367</v>
      </c>
      <c r="E24" s="22">
        <f t="shared" si="0"/>
        <v>3958</v>
      </c>
      <c r="F24" s="22">
        <f t="shared" si="0"/>
        <v>14658</v>
      </c>
      <c r="G24" s="22">
        <f t="shared" si="0"/>
        <v>14248</v>
      </c>
      <c r="H24" s="22">
        <f t="shared" si="0"/>
        <v>126680</v>
      </c>
      <c r="I24" s="22">
        <f t="shared" si="0"/>
        <v>1322</v>
      </c>
      <c r="J24" s="22">
        <f t="shared" si="0"/>
        <v>128002</v>
      </c>
    </row>
    <row r="25" spans="1:10" x14ac:dyDescent="0.25">
      <c r="A25" s="14" t="s">
        <v>17</v>
      </c>
      <c r="B25" s="34">
        <v>2104</v>
      </c>
      <c r="C25" s="34">
        <v>1470</v>
      </c>
      <c r="D25" s="33">
        <v>379</v>
      </c>
      <c r="E25" s="33">
        <v>182</v>
      </c>
      <c r="F25" s="34">
        <v>1961</v>
      </c>
      <c r="G25" s="34">
        <v>1026</v>
      </c>
      <c r="H25" s="25">
        <v>7122</v>
      </c>
      <c r="I25" s="33">
        <v>87</v>
      </c>
      <c r="J25" s="36">
        <v>7209</v>
      </c>
    </row>
    <row r="26" spans="1:10" x14ac:dyDescent="0.25">
      <c r="A26" s="14" t="s">
        <v>18</v>
      </c>
      <c r="B26" s="34">
        <v>7717</v>
      </c>
      <c r="C26" s="34">
        <v>6202</v>
      </c>
      <c r="D26" s="33">
        <v>978</v>
      </c>
      <c r="E26" s="33">
        <v>431</v>
      </c>
      <c r="F26" s="34">
        <v>4675</v>
      </c>
      <c r="G26" s="34">
        <v>3174</v>
      </c>
      <c r="H26" s="25">
        <v>23177</v>
      </c>
      <c r="I26" s="33">
        <v>147</v>
      </c>
      <c r="J26" s="36">
        <v>23324</v>
      </c>
    </row>
    <row r="27" spans="1:10" x14ac:dyDescent="0.25">
      <c r="A27" s="14" t="s">
        <v>19</v>
      </c>
      <c r="B27" s="34">
        <v>22434</v>
      </c>
      <c r="C27" s="34">
        <v>15714</v>
      </c>
      <c r="D27" s="34">
        <v>3873</v>
      </c>
      <c r="E27" s="34">
        <v>1165</v>
      </c>
      <c r="F27" s="34">
        <v>15829</v>
      </c>
      <c r="G27" s="34">
        <v>8908</v>
      </c>
      <c r="H27" s="25">
        <v>67923</v>
      </c>
      <c r="I27" s="33">
        <v>694</v>
      </c>
      <c r="J27" s="36">
        <v>68617</v>
      </c>
    </row>
    <row r="28" spans="1:10" x14ac:dyDescent="0.25">
      <c r="A28" s="14" t="s">
        <v>20</v>
      </c>
      <c r="B28" s="34">
        <v>40121</v>
      </c>
      <c r="C28" s="34">
        <v>20664</v>
      </c>
      <c r="D28" s="34">
        <v>12005</v>
      </c>
      <c r="E28" s="34">
        <v>1894</v>
      </c>
      <c r="F28" s="34">
        <v>19491</v>
      </c>
      <c r="G28" s="34">
        <v>12708</v>
      </c>
      <c r="H28" s="25">
        <v>106883</v>
      </c>
      <c r="I28" s="34">
        <v>1180</v>
      </c>
      <c r="J28" s="36">
        <v>108063</v>
      </c>
    </row>
    <row r="29" spans="1:10" x14ac:dyDescent="0.25">
      <c r="A29" s="14" t="s">
        <v>21</v>
      </c>
      <c r="B29" s="34">
        <v>64100</v>
      </c>
      <c r="C29" s="34">
        <v>27429</v>
      </c>
      <c r="D29" s="34">
        <v>16636</v>
      </c>
      <c r="E29" s="34">
        <v>5463</v>
      </c>
      <c r="F29" s="34">
        <v>20092</v>
      </c>
      <c r="G29" s="34">
        <v>10252</v>
      </c>
      <c r="H29" s="25">
        <v>143972</v>
      </c>
      <c r="I29" s="34">
        <v>1782</v>
      </c>
      <c r="J29" s="36">
        <v>145754</v>
      </c>
    </row>
    <row r="30" spans="1:10" x14ac:dyDescent="0.25">
      <c r="A30" s="14" t="s">
        <v>22</v>
      </c>
      <c r="B30" s="34">
        <v>99778</v>
      </c>
      <c r="C30" s="34">
        <v>59426</v>
      </c>
      <c r="D30" s="34">
        <v>9223</v>
      </c>
      <c r="E30" s="34">
        <v>6443</v>
      </c>
      <c r="F30" s="34">
        <v>14055</v>
      </c>
      <c r="G30" s="34">
        <v>13448</v>
      </c>
      <c r="H30" s="25">
        <v>202373</v>
      </c>
      <c r="I30" s="34">
        <v>2236</v>
      </c>
      <c r="J30" s="36">
        <v>204609</v>
      </c>
    </row>
    <row r="31" spans="1:10" x14ac:dyDescent="0.25">
      <c r="A31" s="14" t="s">
        <v>23</v>
      </c>
      <c r="B31" s="34">
        <v>41385</v>
      </c>
      <c r="C31" s="34">
        <v>21123</v>
      </c>
      <c r="D31" s="34">
        <v>4776</v>
      </c>
      <c r="E31" s="34">
        <v>14930</v>
      </c>
      <c r="F31" s="34">
        <v>12532</v>
      </c>
      <c r="G31" s="34">
        <v>4487</v>
      </c>
      <c r="H31" s="25">
        <v>99233</v>
      </c>
      <c r="I31" s="33">
        <v>504</v>
      </c>
      <c r="J31" s="36">
        <v>99737</v>
      </c>
    </row>
    <row r="32" spans="1:10" x14ac:dyDescent="0.25">
      <c r="A32" s="14" t="s">
        <v>24</v>
      </c>
      <c r="B32" s="34">
        <v>18586</v>
      </c>
      <c r="C32" s="34">
        <v>7215</v>
      </c>
      <c r="D32" s="34">
        <v>1469</v>
      </c>
      <c r="E32" s="34">
        <v>3559</v>
      </c>
      <c r="F32" s="33">
        <v>394</v>
      </c>
      <c r="G32" s="34">
        <v>1367</v>
      </c>
      <c r="H32" s="25">
        <v>32590</v>
      </c>
      <c r="I32" s="33">
        <v>4</v>
      </c>
      <c r="J32" s="36">
        <v>32594</v>
      </c>
    </row>
    <row r="33" spans="1:11" x14ac:dyDescent="0.25">
      <c r="A33" s="14" t="s">
        <v>25</v>
      </c>
      <c r="B33" s="34">
        <v>15356</v>
      </c>
      <c r="C33" s="34">
        <v>6531</v>
      </c>
      <c r="D33" s="33">
        <v>994</v>
      </c>
      <c r="E33" s="34">
        <v>1795</v>
      </c>
      <c r="F33" s="34">
        <v>1009</v>
      </c>
      <c r="G33" s="34">
        <v>1623</v>
      </c>
      <c r="H33" s="25">
        <v>27308</v>
      </c>
      <c r="I33" s="33">
        <v>0</v>
      </c>
      <c r="J33" s="36">
        <v>27308</v>
      </c>
    </row>
    <row r="34" spans="1:11" x14ac:dyDescent="0.25">
      <c r="A34" s="14" t="s">
        <v>53</v>
      </c>
      <c r="B34" s="33">
        <v>0</v>
      </c>
      <c r="C34" s="33">
        <v>0</v>
      </c>
      <c r="D34" s="33">
        <v>0</v>
      </c>
      <c r="E34" s="33">
        <v>0</v>
      </c>
      <c r="F34" s="33">
        <v>50</v>
      </c>
      <c r="G34" s="33">
        <v>2</v>
      </c>
      <c r="H34" s="26">
        <v>52</v>
      </c>
      <c r="I34" s="33">
        <v>1</v>
      </c>
      <c r="J34" s="35">
        <v>53</v>
      </c>
      <c r="K34" s="24"/>
    </row>
    <row r="35" spans="1:11" s="2" customFormat="1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27" t="s">
        <v>29</v>
      </c>
    </row>
    <row r="36" spans="1:11" s="2" customFormat="1" ht="24.95" customHeight="1" thickBot="1" x14ac:dyDescent="0.3">
      <c r="A36" s="16" t="s">
        <v>26</v>
      </c>
      <c r="B36" s="22">
        <f>SUM(B25:B34)</f>
        <v>311581</v>
      </c>
      <c r="C36" s="22">
        <f t="shared" ref="C36:J36" si="1">SUM(C25:C34)</f>
        <v>165774</v>
      </c>
      <c r="D36" s="22">
        <f t="shared" si="1"/>
        <v>50333</v>
      </c>
      <c r="E36" s="22">
        <f t="shared" si="1"/>
        <v>35862</v>
      </c>
      <c r="F36" s="22">
        <f t="shared" si="1"/>
        <v>90088</v>
      </c>
      <c r="G36" s="22">
        <f t="shared" si="1"/>
        <v>56995</v>
      </c>
      <c r="H36" s="22">
        <f t="shared" si="1"/>
        <v>710633</v>
      </c>
      <c r="I36" s="22">
        <f t="shared" si="1"/>
        <v>6635</v>
      </c>
      <c r="J36" s="22">
        <f t="shared" si="1"/>
        <v>717268</v>
      </c>
    </row>
    <row r="37" spans="1:11" ht="30" customHeight="1" thickTop="1" thickBot="1" x14ac:dyDescent="0.3">
      <c r="A37" s="7" t="s">
        <v>27</v>
      </c>
      <c r="B37" s="23">
        <f>SUM(B24,B36)</f>
        <v>355894</v>
      </c>
      <c r="C37" s="23">
        <f t="shared" ref="C37:J37" si="2">SUM(C24,C36)</f>
        <v>200910</v>
      </c>
      <c r="D37" s="23">
        <f t="shared" si="2"/>
        <v>64700</v>
      </c>
      <c r="E37" s="23">
        <f t="shared" si="2"/>
        <v>39820</v>
      </c>
      <c r="F37" s="23">
        <f t="shared" si="2"/>
        <v>104746</v>
      </c>
      <c r="G37" s="23">
        <f t="shared" si="2"/>
        <v>71243</v>
      </c>
      <c r="H37" s="23">
        <f t="shared" si="2"/>
        <v>837313</v>
      </c>
      <c r="I37" s="23">
        <f t="shared" si="2"/>
        <v>7957</v>
      </c>
      <c r="J37" s="23">
        <f t="shared" si="2"/>
        <v>845270</v>
      </c>
    </row>
    <row r="38" spans="1:11" ht="33" customHeight="1" thickTop="1" x14ac:dyDescent="0.25">
      <c r="B38" s="8"/>
    </row>
    <row r="40" spans="1:11" x14ac:dyDescent="0.25">
      <c r="I40" s="2"/>
      <c r="J40" s="2"/>
    </row>
    <row r="41" spans="1:11" x14ac:dyDescent="0.25">
      <c r="I41" s="2"/>
      <c r="J41" s="2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41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37">
        <v>1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26">
        <v>1</v>
      </c>
      <c r="I7" s="37">
        <v>0</v>
      </c>
      <c r="J7" s="39">
        <v>1</v>
      </c>
    </row>
    <row r="8" spans="1:10" x14ac:dyDescent="0.25">
      <c r="A8" s="14" t="s">
        <v>2</v>
      </c>
      <c r="B8" s="37">
        <v>1</v>
      </c>
      <c r="C8" s="37">
        <v>0</v>
      </c>
      <c r="D8" s="37">
        <v>0</v>
      </c>
      <c r="E8" s="37">
        <v>0</v>
      </c>
      <c r="F8" s="37">
        <v>4</v>
      </c>
      <c r="G8" s="37">
        <v>0</v>
      </c>
      <c r="H8" s="26">
        <v>5</v>
      </c>
      <c r="I8" s="37">
        <v>0</v>
      </c>
      <c r="J8" s="39">
        <v>5</v>
      </c>
    </row>
    <row r="9" spans="1:10" x14ac:dyDescent="0.25">
      <c r="A9" s="14" t="s">
        <v>3</v>
      </c>
      <c r="B9" s="37">
        <v>63</v>
      </c>
      <c r="C9" s="37">
        <v>36</v>
      </c>
      <c r="D9" s="37">
        <v>21</v>
      </c>
      <c r="E9" s="37">
        <v>5</v>
      </c>
      <c r="F9" s="37">
        <v>29</v>
      </c>
      <c r="G9" s="37">
        <v>26</v>
      </c>
      <c r="H9" s="26">
        <v>180</v>
      </c>
      <c r="I9" s="37">
        <v>2</v>
      </c>
      <c r="J9" s="39">
        <v>182</v>
      </c>
    </row>
    <row r="10" spans="1:10" x14ac:dyDescent="0.25">
      <c r="A10" s="14" t="s">
        <v>4</v>
      </c>
      <c r="B10" s="37">
        <v>155</v>
      </c>
      <c r="C10" s="37">
        <v>64</v>
      </c>
      <c r="D10" s="37">
        <v>36</v>
      </c>
      <c r="E10" s="37">
        <v>7</v>
      </c>
      <c r="F10" s="37">
        <v>119</v>
      </c>
      <c r="G10" s="37">
        <v>55</v>
      </c>
      <c r="H10" s="26">
        <v>436</v>
      </c>
      <c r="I10" s="37">
        <v>1</v>
      </c>
      <c r="J10" s="39">
        <v>437</v>
      </c>
    </row>
    <row r="11" spans="1:10" x14ac:dyDescent="0.25">
      <c r="A11" s="14" t="s">
        <v>5</v>
      </c>
      <c r="B11" s="38">
        <v>1453</v>
      </c>
      <c r="C11" s="38">
        <v>1717</v>
      </c>
      <c r="D11" s="38">
        <v>1211</v>
      </c>
      <c r="E11" s="37">
        <v>317</v>
      </c>
      <c r="F11" s="37">
        <v>962</v>
      </c>
      <c r="G11" s="38">
        <v>1140</v>
      </c>
      <c r="H11" s="25">
        <v>6800</v>
      </c>
      <c r="I11" s="37">
        <v>41</v>
      </c>
      <c r="J11" s="40">
        <v>6841</v>
      </c>
    </row>
    <row r="12" spans="1:10" x14ac:dyDescent="0.25">
      <c r="A12" s="14" t="s">
        <v>6</v>
      </c>
      <c r="B12" s="38">
        <v>3853</v>
      </c>
      <c r="C12" s="38">
        <v>5917</v>
      </c>
      <c r="D12" s="38">
        <v>3073</v>
      </c>
      <c r="E12" s="37">
        <v>974</v>
      </c>
      <c r="F12" s="38">
        <v>4200</v>
      </c>
      <c r="G12" s="38">
        <v>4428</v>
      </c>
      <c r="H12" s="25">
        <v>22445</v>
      </c>
      <c r="I12" s="37">
        <v>185</v>
      </c>
      <c r="J12" s="40">
        <v>22630</v>
      </c>
    </row>
    <row r="13" spans="1:10" x14ac:dyDescent="0.25">
      <c r="A13" s="14" t="s">
        <v>7</v>
      </c>
      <c r="B13" s="38">
        <v>6313</v>
      </c>
      <c r="C13" s="38">
        <v>6644</v>
      </c>
      <c r="D13" s="38">
        <v>4241</v>
      </c>
      <c r="E13" s="38">
        <v>1082</v>
      </c>
      <c r="F13" s="38">
        <v>3939</v>
      </c>
      <c r="G13" s="38">
        <v>4651</v>
      </c>
      <c r="H13" s="25">
        <v>26870</v>
      </c>
      <c r="I13" s="37">
        <v>263</v>
      </c>
      <c r="J13" s="40">
        <v>27133</v>
      </c>
    </row>
    <row r="14" spans="1:10" x14ac:dyDescent="0.25">
      <c r="A14" s="14" t="s">
        <v>8</v>
      </c>
      <c r="B14" s="38">
        <v>10344</v>
      </c>
      <c r="C14" s="38">
        <v>10230</v>
      </c>
      <c r="D14" s="38">
        <v>3541</v>
      </c>
      <c r="E14" s="37">
        <v>866</v>
      </c>
      <c r="F14" s="38">
        <v>3263</v>
      </c>
      <c r="G14" s="38">
        <v>3076</v>
      </c>
      <c r="H14" s="25">
        <v>31320</v>
      </c>
      <c r="I14" s="37">
        <v>501</v>
      </c>
      <c r="J14" s="40">
        <v>31821</v>
      </c>
    </row>
    <row r="15" spans="1:10" x14ac:dyDescent="0.25">
      <c r="A15" s="14" t="s">
        <v>9</v>
      </c>
      <c r="B15" s="38">
        <v>8039</v>
      </c>
      <c r="C15" s="38">
        <v>4768</v>
      </c>
      <c r="D15" s="37">
        <v>969</v>
      </c>
      <c r="E15" s="37">
        <v>184</v>
      </c>
      <c r="F15" s="38">
        <v>1051</v>
      </c>
      <c r="G15" s="37">
        <v>503</v>
      </c>
      <c r="H15" s="25">
        <v>15514</v>
      </c>
      <c r="I15" s="37">
        <v>94</v>
      </c>
      <c r="J15" s="40">
        <v>15608</v>
      </c>
    </row>
    <row r="16" spans="1:10" x14ac:dyDescent="0.25">
      <c r="A16" s="14" t="s">
        <v>10</v>
      </c>
      <c r="B16" s="38">
        <v>5644</v>
      </c>
      <c r="C16" s="38">
        <v>2566</v>
      </c>
      <c r="D16" s="37">
        <v>748</v>
      </c>
      <c r="E16" s="37">
        <v>235</v>
      </c>
      <c r="F16" s="38">
        <v>1079</v>
      </c>
      <c r="G16" s="37">
        <v>354</v>
      </c>
      <c r="H16" s="25">
        <v>10626</v>
      </c>
      <c r="I16" s="37">
        <v>83</v>
      </c>
      <c r="J16" s="40">
        <v>10709</v>
      </c>
    </row>
    <row r="17" spans="1:10" x14ac:dyDescent="0.25">
      <c r="A17" s="14" t="s">
        <v>11</v>
      </c>
      <c r="B17" s="37">
        <v>375</v>
      </c>
      <c r="C17" s="37">
        <v>89</v>
      </c>
      <c r="D17" s="37">
        <v>1</v>
      </c>
      <c r="E17" s="37">
        <v>14</v>
      </c>
      <c r="F17" s="37">
        <v>0</v>
      </c>
      <c r="G17" s="37">
        <v>0</v>
      </c>
      <c r="H17" s="26">
        <v>479</v>
      </c>
      <c r="I17" s="37">
        <v>0</v>
      </c>
      <c r="J17" s="39">
        <v>479</v>
      </c>
    </row>
    <row r="18" spans="1:10" x14ac:dyDescent="0.25">
      <c r="A18" s="14" t="s">
        <v>12</v>
      </c>
      <c r="B18" s="38">
        <v>1365</v>
      </c>
      <c r="C18" s="37">
        <v>627</v>
      </c>
      <c r="D18" s="37">
        <v>17</v>
      </c>
      <c r="E18" s="37">
        <v>42</v>
      </c>
      <c r="F18" s="37">
        <v>0</v>
      </c>
      <c r="G18" s="37">
        <v>0</v>
      </c>
      <c r="H18" s="25">
        <v>2051</v>
      </c>
      <c r="I18" s="37">
        <v>30</v>
      </c>
      <c r="J18" s="40">
        <v>2081</v>
      </c>
    </row>
    <row r="19" spans="1:10" x14ac:dyDescent="0.25">
      <c r="A19" s="14" t="s">
        <v>13</v>
      </c>
      <c r="B19" s="38">
        <v>1720</v>
      </c>
      <c r="C19" s="37">
        <v>554</v>
      </c>
      <c r="D19" s="37">
        <v>34</v>
      </c>
      <c r="E19" s="37">
        <v>83</v>
      </c>
      <c r="F19" s="37">
        <v>0</v>
      </c>
      <c r="G19" s="37">
        <v>0</v>
      </c>
      <c r="H19" s="25">
        <v>2391</v>
      </c>
      <c r="I19" s="37">
        <v>48</v>
      </c>
      <c r="J19" s="40">
        <v>2439</v>
      </c>
    </row>
    <row r="20" spans="1:10" x14ac:dyDescent="0.25">
      <c r="A20" s="14" t="s">
        <v>14</v>
      </c>
      <c r="B20" s="38">
        <v>3492</v>
      </c>
      <c r="C20" s="38">
        <v>1477</v>
      </c>
      <c r="D20" s="37">
        <v>46</v>
      </c>
      <c r="E20" s="37">
        <v>137</v>
      </c>
      <c r="F20" s="37">
        <v>0</v>
      </c>
      <c r="G20" s="37">
        <v>0</v>
      </c>
      <c r="H20" s="25">
        <v>5152</v>
      </c>
      <c r="I20" s="37">
        <v>78</v>
      </c>
      <c r="J20" s="40">
        <v>5230</v>
      </c>
    </row>
    <row r="21" spans="1:10" x14ac:dyDescent="0.25">
      <c r="A21" s="14" t="s">
        <v>15</v>
      </c>
      <c r="B21" s="38">
        <v>1344</v>
      </c>
      <c r="C21" s="37">
        <v>499</v>
      </c>
      <c r="D21" s="37">
        <v>0</v>
      </c>
      <c r="E21" s="37">
        <v>18</v>
      </c>
      <c r="F21" s="37">
        <v>0</v>
      </c>
      <c r="G21" s="37">
        <v>0</v>
      </c>
      <c r="H21" s="25">
        <v>1861</v>
      </c>
      <c r="I21" s="37">
        <v>0</v>
      </c>
      <c r="J21" s="40">
        <v>1861</v>
      </c>
    </row>
    <row r="22" spans="1:10" x14ac:dyDescent="0.25">
      <c r="A22" s="14" t="s">
        <v>52</v>
      </c>
      <c r="B22" s="37">
        <v>0</v>
      </c>
      <c r="C22" s="37">
        <v>0</v>
      </c>
      <c r="D22" s="37">
        <v>0</v>
      </c>
      <c r="E22" s="37">
        <v>0</v>
      </c>
      <c r="F22" s="37">
        <v>1</v>
      </c>
      <c r="G22" s="37">
        <v>0</v>
      </c>
      <c r="H22" s="26">
        <v>1</v>
      </c>
      <c r="I22" s="37">
        <v>0</v>
      </c>
      <c r="J22" s="39">
        <v>1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36"/>
    </row>
    <row r="24" spans="1:10" ht="24.95" customHeight="1" thickBot="1" x14ac:dyDescent="0.3">
      <c r="A24" s="16" t="s">
        <v>16</v>
      </c>
      <c r="B24" s="22">
        <f>SUM(B7:B22)</f>
        <v>44162</v>
      </c>
      <c r="C24" s="22">
        <f t="shared" ref="C24:J24" si="0">SUM(C7:C22)</f>
        <v>35188</v>
      </c>
      <c r="D24" s="22">
        <f t="shared" si="0"/>
        <v>13938</v>
      </c>
      <c r="E24" s="22">
        <f t="shared" si="0"/>
        <v>3964</v>
      </c>
      <c r="F24" s="22">
        <f t="shared" si="0"/>
        <v>14647</v>
      </c>
      <c r="G24" s="22">
        <f t="shared" si="0"/>
        <v>14233</v>
      </c>
      <c r="H24" s="22">
        <f t="shared" si="0"/>
        <v>126132</v>
      </c>
      <c r="I24" s="22">
        <f t="shared" si="0"/>
        <v>1326</v>
      </c>
      <c r="J24" s="22">
        <f t="shared" si="0"/>
        <v>127458</v>
      </c>
    </row>
    <row r="25" spans="1:10" x14ac:dyDescent="0.25">
      <c r="A25" s="14" t="s">
        <v>17</v>
      </c>
      <c r="B25" s="42">
        <v>2117</v>
      </c>
      <c r="C25" s="42">
        <v>1491</v>
      </c>
      <c r="D25" s="41">
        <v>373</v>
      </c>
      <c r="E25" s="41">
        <v>181</v>
      </c>
      <c r="F25" s="42">
        <v>1956</v>
      </c>
      <c r="G25" s="42">
        <v>1023</v>
      </c>
      <c r="H25" s="25">
        <v>7141</v>
      </c>
      <c r="I25" s="41">
        <v>89</v>
      </c>
      <c r="J25" s="44">
        <v>7230</v>
      </c>
    </row>
    <row r="26" spans="1:10" x14ac:dyDescent="0.25">
      <c r="A26" s="14" t="s">
        <v>18</v>
      </c>
      <c r="B26" s="42">
        <v>7697</v>
      </c>
      <c r="C26" s="42">
        <v>6138</v>
      </c>
      <c r="D26" s="41">
        <v>974</v>
      </c>
      <c r="E26" s="41">
        <v>434</v>
      </c>
      <c r="F26" s="42">
        <v>4669</v>
      </c>
      <c r="G26" s="42">
        <v>3160</v>
      </c>
      <c r="H26" s="25">
        <v>23072</v>
      </c>
      <c r="I26" s="41">
        <v>158</v>
      </c>
      <c r="J26" s="44">
        <v>23230</v>
      </c>
    </row>
    <row r="27" spans="1:10" x14ac:dyDescent="0.25">
      <c r="A27" s="14" t="s">
        <v>19</v>
      </c>
      <c r="B27" s="42">
        <v>22447</v>
      </c>
      <c r="C27" s="42">
        <v>15613</v>
      </c>
      <c r="D27" s="42">
        <v>3862</v>
      </c>
      <c r="E27" s="42">
        <v>1158</v>
      </c>
      <c r="F27" s="42">
        <v>15827</v>
      </c>
      <c r="G27" s="42">
        <v>8922</v>
      </c>
      <c r="H27" s="25">
        <v>67829</v>
      </c>
      <c r="I27" s="41">
        <v>704</v>
      </c>
      <c r="J27" s="44">
        <v>68533</v>
      </c>
    </row>
    <row r="28" spans="1:10" x14ac:dyDescent="0.25">
      <c r="A28" s="14" t="s">
        <v>20</v>
      </c>
      <c r="B28" s="42">
        <v>40208</v>
      </c>
      <c r="C28" s="42">
        <v>20721</v>
      </c>
      <c r="D28" s="42">
        <v>11925</v>
      </c>
      <c r="E28" s="42">
        <v>1890</v>
      </c>
      <c r="F28" s="42">
        <v>19446</v>
      </c>
      <c r="G28" s="42">
        <v>12689</v>
      </c>
      <c r="H28" s="25">
        <v>106879</v>
      </c>
      <c r="I28" s="42">
        <v>1178</v>
      </c>
      <c r="J28" s="44">
        <v>108057</v>
      </c>
    </row>
    <row r="29" spans="1:10" x14ac:dyDescent="0.25">
      <c r="A29" s="14" t="s">
        <v>21</v>
      </c>
      <c r="B29" s="42">
        <v>64516</v>
      </c>
      <c r="C29" s="42">
        <v>27399</v>
      </c>
      <c r="D29" s="42">
        <v>16512</v>
      </c>
      <c r="E29" s="42">
        <v>5369</v>
      </c>
      <c r="F29" s="42">
        <v>19891</v>
      </c>
      <c r="G29" s="42">
        <v>10093</v>
      </c>
      <c r="H29" s="25">
        <v>143780</v>
      </c>
      <c r="I29" s="42">
        <v>1788</v>
      </c>
      <c r="J29" s="44">
        <v>145568</v>
      </c>
    </row>
    <row r="30" spans="1:10" x14ac:dyDescent="0.25">
      <c r="A30" s="14" t="s">
        <v>22</v>
      </c>
      <c r="B30" s="42">
        <v>99282</v>
      </c>
      <c r="C30" s="42">
        <v>59755</v>
      </c>
      <c r="D30" s="42">
        <v>9207</v>
      </c>
      <c r="E30" s="42">
        <v>6407</v>
      </c>
      <c r="F30" s="42">
        <v>14146</v>
      </c>
      <c r="G30" s="42">
        <v>13630</v>
      </c>
      <c r="H30" s="25">
        <v>202427</v>
      </c>
      <c r="I30" s="42">
        <v>2228</v>
      </c>
      <c r="J30" s="44">
        <v>204655</v>
      </c>
    </row>
    <row r="31" spans="1:10" x14ac:dyDescent="0.25">
      <c r="A31" s="14" t="s">
        <v>23</v>
      </c>
      <c r="B31" s="42">
        <v>40989</v>
      </c>
      <c r="C31" s="42">
        <v>21110</v>
      </c>
      <c r="D31" s="42">
        <v>4854</v>
      </c>
      <c r="E31" s="42">
        <v>14981</v>
      </c>
      <c r="F31" s="42">
        <v>12541</v>
      </c>
      <c r="G31" s="42">
        <v>4411</v>
      </c>
      <c r="H31" s="25">
        <v>98886</v>
      </c>
      <c r="I31" s="41">
        <v>473</v>
      </c>
      <c r="J31" s="44">
        <v>99359</v>
      </c>
    </row>
    <row r="32" spans="1:10" x14ac:dyDescent="0.25">
      <c r="A32" s="14" t="s">
        <v>24</v>
      </c>
      <c r="B32" s="42">
        <v>18554</v>
      </c>
      <c r="C32" s="42">
        <v>7001</v>
      </c>
      <c r="D32" s="42">
        <v>1511</v>
      </c>
      <c r="E32" s="42">
        <v>3684</v>
      </c>
      <c r="F32" s="41">
        <v>420</v>
      </c>
      <c r="G32" s="42">
        <v>1401</v>
      </c>
      <c r="H32" s="25">
        <v>32571</v>
      </c>
      <c r="I32" s="41">
        <v>3</v>
      </c>
      <c r="J32" s="44">
        <v>32574</v>
      </c>
    </row>
    <row r="33" spans="1:10" x14ac:dyDescent="0.25">
      <c r="A33" s="14" t="s">
        <v>25</v>
      </c>
      <c r="B33" s="42">
        <v>15721</v>
      </c>
      <c r="C33" s="42">
        <v>6557</v>
      </c>
      <c r="D33" s="41">
        <v>970</v>
      </c>
      <c r="E33" s="42">
        <v>1830</v>
      </c>
      <c r="F33" s="42">
        <v>1023</v>
      </c>
      <c r="G33" s="42">
        <v>1575</v>
      </c>
      <c r="H33" s="25">
        <v>27676</v>
      </c>
      <c r="I33" s="41">
        <v>0</v>
      </c>
      <c r="J33" s="44">
        <v>27676</v>
      </c>
    </row>
    <row r="34" spans="1:10" x14ac:dyDescent="0.25">
      <c r="A34" s="14" t="s">
        <v>53</v>
      </c>
      <c r="B34" s="41">
        <v>0</v>
      </c>
      <c r="C34" s="41">
        <v>0</v>
      </c>
      <c r="D34" s="41">
        <v>0</v>
      </c>
      <c r="E34" s="41">
        <v>0</v>
      </c>
      <c r="F34" s="41">
        <v>50</v>
      </c>
      <c r="G34" s="41">
        <v>2</v>
      </c>
      <c r="H34" s="26">
        <v>52</v>
      </c>
      <c r="I34" s="41">
        <v>0</v>
      </c>
      <c r="J34" s="43">
        <v>52</v>
      </c>
    </row>
    <row r="35" spans="1:10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35" t="s">
        <v>29</v>
      </c>
    </row>
    <row r="36" spans="1:10" ht="24.95" customHeight="1" thickBot="1" x14ac:dyDescent="0.3">
      <c r="A36" s="16" t="s">
        <v>26</v>
      </c>
      <c r="B36" s="22">
        <f>SUM(B25:B34)</f>
        <v>311531</v>
      </c>
      <c r="C36" s="22">
        <f t="shared" ref="C36:J36" si="1">SUM(C25:C34)</f>
        <v>165785</v>
      </c>
      <c r="D36" s="22">
        <f t="shared" si="1"/>
        <v>50188</v>
      </c>
      <c r="E36" s="22">
        <f t="shared" si="1"/>
        <v>35934</v>
      </c>
      <c r="F36" s="22">
        <f t="shared" si="1"/>
        <v>89969</v>
      </c>
      <c r="G36" s="22">
        <f t="shared" si="1"/>
        <v>56906</v>
      </c>
      <c r="H36" s="22">
        <f t="shared" si="1"/>
        <v>710313</v>
      </c>
      <c r="I36" s="22">
        <f t="shared" si="1"/>
        <v>6621</v>
      </c>
      <c r="J36" s="22">
        <f t="shared" si="1"/>
        <v>716934</v>
      </c>
    </row>
    <row r="37" spans="1:10" ht="30" customHeight="1" thickTop="1" thickBot="1" x14ac:dyDescent="0.3">
      <c r="A37" s="7" t="s">
        <v>27</v>
      </c>
      <c r="B37" s="23">
        <f>SUM(B24,B36)</f>
        <v>355693</v>
      </c>
      <c r="C37" s="23">
        <f t="shared" ref="C37:J37" si="2">SUM(C24,C36)</f>
        <v>200973</v>
      </c>
      <c r="D37" s="23">
        <f t="shared" si="2"/>
        <v>64126</v>
      </c>
      <c r="E37" s="23">
        <f t="shared" si="2"/>
        <v>39898</v>
      </c>
      <c r="F37" s="23">
        <f t="shared" si="2"/>
        <v>104616</v>
      </c>
      <c r="G37" s="23">
        <f t="shared" si="2"/>
        <v>71139</v>
      </c>
      <c r="H37" s="23">
        <f t="shared" si="2"/>
        <v>836445</v>
      </c>
      <c r="I37" s="23">
        <f t="shared" si="2"/>
        <v>7947</v>
      </c>
      <c r="J37" s="23">
        <f t="shared" si="2"/>
        <v>844392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42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45">
        <v>1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26">
        <v>1</v>
      </c>
      <c r="I7" s="45">
        <v>0</v>
      </c>
      <c r="J7" s="47">
        <v>1</v>
      </c>
    </row>
    <row r="8" spans="1:10" x14ac:dyDescent="0.25">
      <c r="A8" s="14" t="s">
        <v>2</v>
      </c>
      <c r="B8" s="45">
        <v>1</v>
      </c>
      <c r="C8" s="45">
        <v>0</v>
      </c>
      <c r="D8" s="45">
        <v>0</v>
      </c>
      <c r="E8" s="45">
        <v>0</v>
      </c>
      <c r="F8" s="45">
        <v>4</v>
      </c>
      <c r="G8" s="45">
        <v>0</v>
      </c>
      <c r="H8" s="26">
        <v>5</v>
      </c>
      <c r="I8" s="45">
        <v>0</v>
      </c>
      <c r="J8" s="47">
        <v>5</v>
      </c>
    </row>
    <row r="9" spans="1:10" x14ac:dyDescent="0.25">
      <c r="A9" s="14" t="s">
        <v>3</v>
      </c>
      <c r="B9" s="45">
        <v>63</v>
      </c>
      <c r="C9" s="45">
        <v>37</v>
      </c>
      <c r="D9" s="45">
        <v>17</v>
      </c>
      <c r="E9" s="45">
        <v>5</v>
      </c>
      <c r="F9" s="45">
        <v>28</v>
      </c>
      <c r="G9" s="45">
        <v>26</v>
      </c>
      <c r="H9" s="26">
        <v>176</v>
      </c>
      <c r="I9" s="45">
        <v>2</v>
      </c>
      <c r="J9" s="47">
        <v>178</v>
      </c>
    </row>
    <row r="10" spans="1:10" x14ac:dyDescent="0.25">
      <c r="A10" s="14" t="s">
        <v>4</v>
      </c>
      <c r="B10" s="45">
        <v>154</v>
      </c>
      <c r="C10" s="45">
        <v>67</v>
      </c>
      <c r="D10" s="45">
        <v>36</v>
      </c>
      <c r="E10" s="45">
        <v>7</v>
      </c>
      <c r="F10" s="45">
        <v>116</v>
      </c>
      <c r="G10" s="45">
        <v>55</v>
      </c>
      <c r="H10" s="26">
        <v>435</v>
      </c>
      <c r="I10" s="45">
        <v>1</v>
      </c>
      <c r="J10" s="47">
        <v>436</v>
      </c>
    </row>
    <row r="11" spans="1:10" x14ac:dyDescent="0.25">
      <c r="A11" s="14" t="s">
        <v>5</v>
      </c>
      <c r="B11" s="46">
        <v>1465</v>
      </c>
      <c r="C11" s="46">
        <v>1704</v>
      </c>
      <c r="D11" s="46">
        <v>1243</v>
      </c>
      <c r="E11" s="45">
        <v>321</v>
      </c>
      <c r="F11" s="45">
        <v>955</v>
      </c>
      <c r="G11" s="46">
        <v>1126</v>
      </c>
      <c r="H11" s="25">
        <v>6814</v>
      </c>
      <c r="I11" s="45">
        <v>41</v>
      </c>
      <c r="J11" s="48">
        <v>6855</v>
      </c>
    </row>
    <row r="12" spans="1:10" x14ac:dyDescent="0.25">
      <c r="A12" s="14" t="s">
        <v>6</v>
      </c>
      <c r="B12" s="46">
        <v>3846</v>
      </c>
      <c r="C12" s="46">
        <v>5916</v>
      </c>
      <c r="D12" s="46">
        <v>3118</v>
      </c>
      <c r="E12" s="45">
        <v>981</v>
      </c>
      <c r="F12" s="46">
        <v>4198</v>
      </c>
      <c r="G12" s="46">
        <v>4413</v>
      </c>
      <c r="H12" s="25">
        <v>22472</v>
      </c>
      <c r="I12" s="45">
        <v>186</v>
      </c>
      <c r="J12" s="48">
        <v>22658</v>
      </c>
    </row>
    <row r="13" spans="1:10" x14ac:dyDescent="0.25">
      <c r="A13" s="14" t="s">
        <v>7</v>
      </c>
      <c r="B13" s="46">
        <v>6340</v>
      </c>
      <c r="C13" s="46">
        <v>6657</v>
      </c>
      <c r="D13" s="46">
        <v>4242</v>
      </c>
      <c r="E13" s="46">
        <v>1081</v>
      </c>
      <c r="F13" s="46">
        <v>3941</v>
      </c>
      <c r="G13" s="46">
        <v>4648</v>
      </c>
      <c r="H13" s="25">
        <v>26909</v>
      </c>
      <c r="I13" s="45">
        <v>262</v>
      </c>
      <c r="J13" s="48">
        <v>27171</v>
      </c>
    </row>
    <row r="14" spans="1:10" x14ac:dyDescent="0.25">
      <c r="A14" s="14" t="s">
        <v>8</v>
      </c>
      <c r="B14" s="46">
        <v>10258</v>
      </c>
      <c r="C14" s="46">
        <v>10190</v>
      </c>
      <c r="D14" s="46">
        <v>3488</v>
      </c>
      <c r="E14" s="45">
        <v>873</v>
      </c>
      <c r="F14" s="46">
        <v>3247</v>
      </c>
      <c r="G14" s="46">
        <v>3077</v>
      </c>
      <c r="H14" s="25">
        <v>31133</v>
      </c>
      <c r="I14" s="45">
        <v>496</v>
      </c>
      <c r="J14" s="48">
        <v>31629</v>
      </c>
    </row>
    <row r="15" spans="1:10" x14ac:dyDescent="0.25">
      <c r="A15" s="14" t="s">
        <v>9</v>
      </c>
      <c r="B15" s="46">
        <v>8051</v>
      </c>
      <c r="C15" s="46">
        <v>4794</v>
      </c>
      <c r="D15" s="46">
        <v>1020</v>
      </c>
      <c r="E15" s="45">
        <v>225</v>
      </c>
      <c r="F15" s="46">
        <v>1148</v>
      </c>
      <c r="G15" s="45">
        <v>506</v>
      </c>
      <c r="H15" s="25">
        <v>15744</v>
      </c>
      <c r="I15" s="45">
        <v>91</v>
      </c>
      <c r="J15" s="48">
        <v>15835</v>
      </c>
    </row>
    <row r="16" spans="1:10" x14ac:dyDescent="0.25">
      <c r="A16" s="14" t="s">
        <v>10</v>
      </c>
      <c r="B16" s="46">
        <v>5601</v>
      </c>
      <c r="C16" s="46">
        <v>2599</v>
      </c>
      <c r="D16" s="45">
        <v>726</v>
      </c>
      <c r="E16" s="45">
        <v>235</v>
      </c>
      <c r="F16" s="46">
        <v>1016</v>
      </c>
      <c r="G16" s="45">
        <v>352</v>
      </c>
      <c r="H16" s="25">
        <v>10529</v>
      </c>
      <c r="I16" s="45">
        <v>83</v>
      </c>
      <c r="J16" s="48">
        <v>10612</v>
      </c>
    </row>
    <row r="17" spans="1:10" x14ac:dyDescent="0.25">
      <c r="A17" s="14" t="s">
        <v>11</v>
      </c>
      <c r="B17" s="45">
        <v>373</v>
      </c>
      <c r="C17" s="45">
        <v>88</v>
      </c>
      <c r="D17" s="45">
        <v>1</v>
      </c>
      <c r="E17" s="45">
        <v>15</v>
      </c>
      <c r="F17" s="45">
        <v>0</v>
      </c>
      <c r="G17" s="45">
        <v>0</v>
      </c>
      <c r="H17" s="26">
        <v>477</v>
      </c>
      <c r="I17" s="45">
        <v>0</v>
      </c>
      <c r="J17" s="47">
        <v>477</v>
      </c>
    </row>
    <row r="18" spans="1:10" x14ac:dyDescent="0.25">
      <c r="A18" s="14" t="s">
        <v>12</v>
      </c>
      <c r="B18" s="46">
        <v>1361</v>
      </c>
      <c r="C18" s="45">
        <v>626</v>
      </c>
      <c r="D18" s="45">
        <v>16</v>
      </c>
      <c r="E18" s="45">
        <v>42</v>
      </c>
      <c r="F18" s="45">
        <v>0</v>
      </c>
      <c r="G18" s="45">
        <v>0</v>
      </c>
      <c r="H18" s="25">
        <v>2045</v>
      </c>
      <c r="I18" s="45">
        <v>31</v>
      </c>
      <c r="J18" s="48">
        <v>2076</v>
      </c>
    </row>
    <row r="19" spans="1:10" x14ac:dyDescent="0.25">
      <c r="A19" s="14" t="s">
        <v>13</v>
      </c>
      <c r="B19" s="46">
        <v>1720</v>
      </c>
      <c r="C19" s="45">
        <v>553</v>
      </c>
      <c r="D19" s="45">
        <v>32</v>
      </c>
      <c r="E19" s="45">
        <v>85</v>
      </c>
      <c r="F19" s="45">
        <v>0</v>
      </c>
      <c r="G19" s="45">
        <v>0</v>
      </c>
      <c r="H19" s="25">
        <v>2390</v>
      </c>
      <c r="I19" s="45">
        <v>47</v>
      </c>
      <c r="J19" s="48">
        <v>2437</v>
      </c>
    </row>
    <row r="20" spans="1:10" x14ac:dyDescent="0.25">
      <c r="A20" s="14" t="s">
        <v>14</v>
      </c>
      <c r="B20" s="46">
        <v>3493</v>
      </c>
      <c r="C20" s="46">
        <v>1489</v>
      </c>
      <c r="D20" s="45">
        <v>53</v>
      </c>
      <c r="E20" s="45">
        <v>133</v>
      </c>
      <c r="F20" s="45">
        <v>0</v>
      </c>
      <c r="G20" s="45">
        <v>0</v>
      </c>
      <c r="H20" s="25">
        <v>5168</v>
      </c>
      <c r="I20" s="45">
        <v>78</v>
      </c>
      <c r="J20" s="48">
        <v>5246</v>
      </c>
    </row>
    <row r="21" spans="1:10" x14ac:dyDescent="0.25">
      <c r="A21" s="14" t="s">
        <v>15</v>
      </c>
      <c r="B21" s="46">
        <v>1366</v>
      </c>
      <c r="C21" s="45">
        <v>497</v>
      </c>
      <c r="D21" s="45">
        <v>0</v>
      </c>
      <c r="E21" s="45">
        <v>18</v>
      </c>
      <c r="F21" s="45">
        <v>0</v>
      </c>
      <c r="G21" s="45">
        <v>0</v>
      </c>
      <c r="H21" s="25">
        <v>1881</v>
      </c>
      <c r="I21" s="45">
        <v>0</v>
      </c>
      <c r="J21" s="48">
        <v>1881</v>
      </c>
    </row>
    <row r="22" spans="1:10" x14ac:dyDescent="0.25">
      <c r="A22" s="14" t="s">
        <v>52</v>
      </c>
      <c r="B22" s="45">
        <v>0</v>
      </c>
      <c r="C22" s="45">
        <v>0</v>
      </c>
      <c r="D22" s="45">
        <v>0</v>
      </c>
      <c r="E22" s="45">
        <v>0</v>
      </c>
      <c r="F22" s="45">
        <v>1</v>
      </c>
      <c r="G22" s="45">
        <v>0</v>
      </c>
      <c r="H22" s="26">
        <v>1</v>
      </c>
      <c r="I22" s="45">
        <v>0</v>
      </c>
      <c r="J22" s="47">
        <v>1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44"/>
    </row>
    <row r="24" spans="1:10" ht="24.95" customHeight="1" thickBot="1" x14ac:dyDescent="0.3">
      <c r="A24" s="16" t="s">
        <v>16</v>
      </c>
      <c r="B24" s="22">
        <f>SUM(B7:B22)</f>
        <v>44093</v>
      </c>
      <c r="C24" s="22">
        <f t="shared" ref="C24:J24" si="0">SUM(C7:C22)</f>
        <v>35217</v>
      </c>
      <c r="D24" s="22">
        <f t="shared" si="0"/>
        <v>13992</v>
      </c>
      <c r="E24" s="22">
        <f t="shared" si="0"/>
        <v>4021</v>
      </c>
      <c r="F24" s="22">
        <f t="shared" si="0"/>
        <v>14654</v>
      </c>
      <c r="G24" s="22">
        <f t="shared" si="0"/>
        <v>14203</v>
      </c>
      <c r="H24" s="22">
        <f t="shared" si="0"/>
        <v>126180</v>
      </c>
      <c r="I24" s="22">
        <f t="shared" si="0"/>
        <v>1318</v>
      </c>
      <c r="J24" s="22">
        <f t="shared" si="0"/>
        <v>127498</v>
      </c>
    </row>
    <row r="25" spans="1:10" x14ac:dyDescent="0.25">
      <c r="A25" s="14" t="s">
        <v>17</v>
      </c>
      <c r="B25" s="50">
        <v>2117</v>
      </c>
      <c r="C25" s="50">
        <v>1480</v>
      </c>
      <c r="D25" s="49">
        <v>375</v>
      </c>
      <c r="E25" s="49">
        <v>181</v>
      </c>
      <c r="F25" s="50">
        <v>1951</v>
      </c>
      <c r="G25" s="50">
        <v>1010</v>
      </c>
      <c r="H25" s="25">
        <v>7114</v>
      </c>
      <c r="I25" s="49">
        <v>88</v>
      </c>
      <c r="J25" s="52">
        <v>7202</v>
      </c>
    </row>
    <row r="26" spans="1:10" x14ac:dyDescent="0.25">
      <c r="A26" s="14" t="s">
        <v>18</v>
      </c>
      <c r="B26" s="50">
        <v>7712</v>
      </c>
      <c r="C26" s="50">
        <v>6152</v>
      </c>
      <c r="D26" s="49">
        <v>981</v>
      </c>
      <c r="E26" s="49">
        <v>443</v>
      </c>
      <c r="F26" s="50">
        <v>4667</v>
      </c>
      <c r="G26" s="50">
        <v>3164</v>
      </c>
      <c r="H26" s="25">
        <v>23119</v>
      </c>
      <c r="I26" s="49">
        <v>155</v>
      </c>
      <c r="J26" s="52">
        <v>23274</v>
      </c>
    </row>
    <row r="27" spans="1:10" x14ac:dyDescent="0.25">
      <c r="A27" s="14" t="s">
        <v>19</v>
      </c>
      <c r="B27" s="50">
        <v>22457</v>
      </c>
      <c r="C27" s="50">
        <v>15468</v>
      </c>
      <c r="D27" s="50">
        <v>3869</v>
      </c>
      <c r="E27" s="50">
        <v>1147</v>
      </c>
      <c r="F27" s="50">
        <v>15822</v>
      </c>
      <c r="G27" s="50">
        <v>8917</v>
      </c>
      <c r="H27" s="25">
        <v>67680</v>
      </c>
      <c r="I27" s="49">
        <v>698</v>
      </c>
      <c r="J27" s="52">
        <v>68378</v>
      </c>
    </row>
    <row r="28" spans="1:10" x14ac:dyDescent="0.25">
      <c r="A28" s="14" t="s">
        <v>20</v>
      </c>
      <c r="B28" s="50">
        <v>40241</v>
      </c>
      <c r="C28" s="50">
        <v>20757</v>
      </c>
      <c r="D28" s="50">
        <v>11953</v>
      </c>
      <c r="E28" s="50">
        <v>1902</v>
      </c>
      <c r="F28" s="50">
        <v>19376</v>
      </c>
      <c r="G28" s="50">
        <v>12654</v>
      </c>
      <c r="H28" s="25">
        <v>106883</v>
      </c>
      <c r="I28" s="50">
        <v>1186</v>
      </c>
      <c r="J28" s="52">
        <v>108069</v>
      </c>
    </row>
    <row r="29" spans="1:10" x14ac:dyDescent="0.25">
      <c r="A29" s="14" t="s">
        <v>21</v>
      </c>
      <c r="B29" s="50">
        <v>64613</v>
      </c>
      <c r="C29" s="50">
        <v>27276</v>
      </c>
      <c r="D29" s="50">
        <v>16421</v>
      </c>
      <c r="E29" s="50">
        <v>5238</v>
      </c>
      <c r="F29" s="50">
        <v>19720</v>
      </c>
      <c r="G29" s="50">
        <v>9955</v>
      </c>
      <c r="H29" s="25">
        <v>143223</v>
      </c>
      <c r="I29" s="50">
        <v>1797</v>
      </c>
      <c r="J29" s="52">
        <v>145020</v>
      </c>
    </row>
    <row r="30" spans="1:10" x14ac:dyDescent="0.25">
      <c r="A30" s="14" t="s">
        <v>22</v>
      </c>
      <c r="B30" s="50">
        <v>98947</v>
      </c>
      <c r="C30" s="50">
        <v>59789</v>
      </c>
      <c r="D30" s="50">
        <v>9216</v>
      </c>
      <c r="E30" s="50">
        <v>6382</v>
      </c>
      <c r="F30" s="50">
        <v>14209</v>
      </c>
      <c r="G30" s="50">
        <v>13723</v>
      </c>
      <c r="H30" s="25">
        <v>202266</v>
      </c>
      <c r="I30" s="50">
        <v>2223</v>
      </c>
      <c r="J30" s="52">
        <v>204489</v>
      </c>
    </row>
    <row r="31" spans="1:10" x14ac:dyDescent="0.25">
      <c r="A31" s="14" t="s">
        <v>23</v>
      </c>
      <c r="B31" s="50">
        <v>40873</v>
      </c>
      <c r="C31" s="50">
        <v>20924</v>
      </c>
      <c r="D31" s="50">
        <v>4901</v>
      </c>
      <c r="E31" s="50">
        <v>15230</v>
      </c>
      <c r="F31" s="50">
        <v>12573</v>
      </c>
      <c r="G31" s="50">
        <v>4294</v>
      </c>
      <c r="H31" s="25">
        <v>98795</v>
      </c>
      <c r="I31" s="49">
        <v>448</v>
      </c>
      <c r="J31" s="52">
        <v>99243</v>
      </c>
    </row>
    <row r="32" spans="1:10" x14ac:dyDescent="0.25">
      <c r="A32" s="14" t="s">
        <v>24</v>
      </c>
      <c r="B32" s="50">
        <v>18813</v>
      </c>
      <c r="C32" s="50">
        <v>7114</v>
      </c>
      <c r="D32" s="50">
        <v>1487</v>
      </c>
      <c r="E32" s="50">
        <v>3741</v>
      </c>
      <c r="F32" s="49">
        <v>443</v>
      </c>
      <c r="G32" s="50">
        <v>1442</v>
      </c>
      <c r="H32" s="25">
        <v>33040</v>
      </c>
      <c r="I32" s="49">
        <v>11</v>
      </c>
      <c r="J32" s="52">
        <v>33051</v>
      </c>
    </row>
    <row r="33" spans="1:10" x14ac:dyDescent="0.25">
      <c r="A33" s="14" t="s">
        <v>25</v>
      </c>
      <c r="B33" s="50">
        <v>16141</v>
      </c>
      <c r="C33" s="50">
        <v>6503</v>
      </c>
      <c r="D33" s="49">
        <v>935</v>
      </c>
      <c r="E33" s="50">
        <v>1660</v>
      </c>
      <c r="F33" s="50">
        <v>1061</v>
      </c>
      <c r="G33" s="50">
        <v>1524</v>
      </c>
      <c r="H33" s="25">
        <v>27824</v>
      </c>
      <c r="I33" s="49">
        <v>0</v>
      </c>
      <c r="J33" s="52">
        <v>27824</v>
      </c>
    </row>
    <row r="34" spans="1:10" x14ac:dyDescent="0.25">
      <c r="A34" s="14" t="s">
        <v>53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26">
        <v>0</v>
      </c>
      <c r="I34" s="41">
        <v>0</v>
      </c>
      <c r="J34" s="43">
        <v>0</v>
      </c>
    </row>
    <row r="35" spans="1:10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43" t="s">
        <v>29</v>
      </c>
    </row>
    <row r="36" spans="1:10" ht="24.95" customHeight="1" thickBot="1" x14ac:dyDescent="0.3">
      <c r="A36" s="16" t="s">
        <v>26</v>
      </c>
      <c r="B36" s="22">
        <f>SUM(B25:B34)</f>
        <v>311914</v>
      </c>
      <c r="C36" s="22">
        <f t="shared" ref="C36:J36" si="1">SUM(C25:C34)</f>
        <v>165463</v>
      </c>
      <c r="D36" s="22">
        <f t="shared" si="1"/>
        <v>50138</v>
      </c>
      <c r="E36" s="22">
        <f t="shared" si="1"/>
        <v>35924</v>
      </c>
      <c r="F36" s="22">
        <f t="shared" si="1"/>
        <v>89822</v>
      </c>
      <c r="G36" s="22">
        <f t="shared" si="1"/>
        <v>56683</v>
      </c>
      <c r="H36" s="22">
        <f t="shared" si="1"/>
        <v>709944</v>
      </c>
      <c r="I36" s="22">
        <f t="shared" si="1"/>
        <v>6606</v>
      </c>
      <c r="J36" s="22">
        <f t="shared" si="1"/>
        <v>716550</v>
      </c>
    </row>
    <row r="37" spans="1:10" ht="30" customHeight="1" thickTop="1" thickBot="1" x14ac:dyDescent="0.3">
      <c r="A37" s="7" t="s">
        <v>27</v>
      </c>
      <c r="B37" s="23">
        <f>SUM(B24,B36)</f>
        <v>356007</v>
      </c>
      <c r="C37" s="23">
        <f t="shared" ref="C37:J37" si="2">SUM(C24,C36)</f>
        <v>200680</v>
      </c>
      <c r="D37" s="23">
        <f t="shared" si="2"/>
        <v>64130</v>
      </c>
      <c r="E37" s="23">
        <f t="shared" si="2"/>
        <v>39945</v>
      </c>
      <c r="F37" s="23">
        <f t="shared" si="2"/>
        <v>104476</v>
      </c>
      <c r="G37" s="23">
        <f t="shared" si="2"/>
        <v>70886</v>
      </c>
      <c r="H37" s="23">
        <f t="shared" si="2"/>
        <v>836124</v>
      </c>
      <c r="I37" s="23">
        <f t="shared" si="2"/>
        <v>7924</v>
      </c>
      <c r="J37" s="23">
        <f t="shared" si="2"/>
        <v>844048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43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53">
        <v>1</v>
      </c>
      <c r="C7" s="53">
        <v>0</v>
      </c>
      <c r="D7" s="53">
        <v>0</v>
      </c>
      <c r="E7" s="53">
        <v>0</v>
      </c>
      <c r="F7" s="53">
        <v>0</v>
      </c>
      <c r="G7" s="53">
        <v>0</v>
      </c>
      <c r="H7" s="26">
        <v>1</v>
      </c>
      <c r="I7" s="53">
        <v>0</v>
      </c>
      <c r="J7" s="55">
        <v>1</v>
      </c>
    </row>
    <row r="8" spans="1:10" x14ac:dyDescent="0.25">
      <c r="A8" s="14" t="s">
        <v>2</v>
      </c>
      <c r="B8" s="53">
        <v>1</v>
      </c>
      <c r="C8" s="53">
        <v>0</v>
      </c>
      <c r="D8" s="53">
        <v>0</v>
      </c>
      <c r="E8" s="53">
        <v>0</v>
      </c>
      <c r="F8" s="53">
        <v>4</v>
      </c>
      <c r="G8" s="53">
        <v>0</v>
      </c>
      <c r="H8" s="26">
        <v>5</v>
      </c>
      <c r="I8" s="53">
        <v>0</v>
      </c>
      <c r="J8" s="55">
        <v>5</v>
      </c>
    </row>
    <row r="9" spans="1:10" x14ac:dyDescent="0.25">
      <c r="A9" s="14" t="s">
        <v>3</v>
      </c>
      <c r="B9" s="53">
        <v>63</v>
      </c>
      <c r="C9" s="53">
        <v>37</v>
      </c>
      <c r="D9" s="53">
        <v>17</v>
      </c>
      <c r="E9" s="53">
        <v>5</v>
      </c>
      <c r="F9" s="53">
        <v>33</v>
      </c>
      <c r="G9" s="53">
        <v>28</v>
      </c>
      <c r="H9" s="26">
        <v>183</v>
      </c>
      <c r="I9" s="53">
        <v>2</v>
      </c>
      <c r="J9" s="55">
        <v>185</v>
      </c>
    </row>
    <row r="10" spans="1:10" x14ac:dyDescent="0.25">
      <c r="A10" s="14" t="s">
        <v>4</v>
      </c>
      <c r="B10" s="53">
        <v>152</v>
      </c>
      <c r="C10" s="53">
        <v>66</v>
      </c>
      <c r="D10" s="53">
        <v>34</v>
      </c>
      <c r="E10" s="53">
        <v>7</v>
      </c>
      <c r="F10" s="53">
        <v>115</v>
      </c>
      <c r="G10" s="53">
        <v>58</v>
      </c>
      <c r="H10" s="26">
        <v>432</v>
      </c>
      <c r="I10" s="53">
        <v>1</v>
      </c>
      <c r="J10" s="55">
        <v>433</v>
      </c>
    </row>
    <row r="11" spans="1:10" x14ac:dyDescent="0.25">
      <c r="A11" s="14" t="s">
        <v>5</v>
      </c>
      <c r="B11" s="54">
        <v>1433</v>
      </c>
      <c r="C11" s="54">
        <v>1710</v>
      </c>
      <c r="D11" s="54">
        <v>1246</v>
      </c>
      <c r="E11" s="53">
        <v>314</v>
      </c>
      <c r="F11" s="53">
        <v>978</v>
      </c>
      <c r="G11" s="54">
        <v>1106</v>
      </c>
      <c r="H11" s="25">
        <v>6787</v>
      </c>
      <c r="I11" s="53">
        <v>41</v>
      </c>
      <c r="J11" s="56">
        <v>6828</v>
      </c>
    </row>
    <row r="12" spans="1:10" x14ac:dyDescent="0.25">
      <c r="A12" s="14" t="s">
        <v>6</v>
      </c>
      <c r="B12" s="54">
        <v>3870</v>
      </c>
      <c r="C12" s="54">
        <v>5899</v>
      </c>
      <c r="D12" s="54">
        <v>3130</v>
      </c>
      <c r="E12" s="53">
        <v>977</v>
      </c>
      <c r="F12" s="54">
        <v>4074</v>
      </c>
      <c r="G12" s="54">
        <v>4388</v>
      </c>
      <c r="H12" s="25">
        <v>22338</v>
      </c>
      <c r="I12" s="53">
        <v>187</v>
      </c>
      <c r="J12" s="56">
        <v>22525</v>
      </c>
    </row>
    <row r="13" spans="1:10" x14ac:dyDescent="0.25">
      <c r="A13" s="14" t="s">
        <v>7</v>
      </c>
      <c r="B13" s="54">
        <v>6384</v>
      </c>
      <c r="C13" s="54">
        <v>6651</v>
      </c>
      <c r="D13" s="54">
        <v>4248</v>
      </c>
      <c r="E13" s="54">
        <v>1073</v>
      </c>
      <c r="F13" s="54">
        <v>3934</v>
      </c>
      <c r="G13" s="54">
        <v>4630</v>
      </c>
      <c r="H13" s="25">
        <v>26920</v>
      </c>
      <c r="I13" s="53">
        <v>257</v>
      </c>
      <c r="J13" s="56">
        <v>27177</v>
      </c>
    </row>
    <row r="14" spans="1:10" x14ac:dyDescent="0.25">
      <c r="A14" s="14" t="s">
        <v>8</v>
      </c>
      <c r="B14" s="54">
        <v>10162</v>
      </c>
      <c r="C14" s="54">
        <v>10195</v>
      </c>
      <c r="D14" s="54">
        <v>3512</v>
      </c>
      <c r="E14" s="53">
        <v>907</v>
      </c>
      <c r="F14" s="54">
        <v>3252</v>
      </c>
      <c r="G14" s="54">
        <v>3092</v>
      </c>
      <c r="H14" s="25">
        <v>31120</v>
      </c>
      <c r="I14" s="53">
        <v>498</v>
      </c>
      <c r="J14" s="56">
        <v>31618</v>
      </c>
    </row>
    <row r="15" spans="1:10" x14ac:dyDescent="0.25">
      <c r="A15" s="14" t="s">
        <v>9</v>
      </c>
      <c r="B15" s="54">
        <v>7957</v>
      </c>
      <c r="C15" s="54">
        <v>4857</v>
      </c>
      <c r="D15" s="54">
        <v>1084</v>
      </c>
      <c r="E15" s="53">
        <v>202</v>
      </c>
      <c r="F15" s="54">
        <v>1162</v>
      </c>
      <c r="G15" s="53">
        <v>514</v>
      </c>
      <c r="H15" s="25">
        <v>15776</v>
      </c>
      <c r="I15" s="53">
        <v>126</v>
      </c>
      <c r="J15" s="56">
        <v>15902</v>
      </c>
    </row>
    <row r="16" spans="1:10" x14ac:dyDescent="0.25">
      <c r="A16" s="14" t="s">
        <v>10</v>
      </c>
      <c r="B16" s="54">
        <v>5691</v>
      </c>
      <c r="C16" s="54">
        <v>2631</v>
      </c>
      <c r="D16" s="53">
        <v>657</v>
      </c>
      <c r="E16" s="53">
        <v>231</v>
      </c>
      <c r="F16" s="54">
        <v>1076</v>
      </c>
      <c r="G16" s="53">
        <v>350</v>
      </c>
      <c r="H16" s="25">
        <v>10636</v>
      </c>
      <c r="I16" s="53">
        <v>44</v>
      </c>
      <c r="J16" s="56">
        <v>10680</v>
      </c>
    </row>
    <row r="17" spans="1:10" x14ac:dyDescent="0.25">
      <c r="A17" s="14" t="s">
        <v>11</v>
      </c>
      <c r="B17" s="53">
        <v>379</v>
      </c>
      <c r="C17" s="53">
        <v>87</v>
      </c>
      <c r="D17" s="53">
        <v>1</v>
      </c>
      <c r="E17" s="53">
        <v>15</v>
      </c>
      <c r="F17" s="53">
        <v>0</v>
      </c>
      <c r="G17" s="53">
        <v>0</v>
      </c>
      <c r="H17" s="26">
        <v>482</v>
      </c>
      <c r="I17" s="53">
        <v>0</v>
      </c>
      <c r="J17" s="55">
        <v>482</v>
      </c>
    </row>
    <row r="18" spans="1:10" x14ac:dyDescent="0.25">
      <c r="A18" s="14" t="s">
        <v>12</v>
      </c>
      <c r="B18" s="54">
        <v>1389</v>
      </c>
      <c r="C18" s="53">
        <v>622</v>
      </c>
      <c r="D18" s="53">
        <v>13</v>
      </c>
      <c r="E18" s="53">
        <v>42</v>
      </c>
      <c r="F18" s="53">
        <v>0</v>
      </c>
      <c r="G18" s="53">
        <v>0</v>
      </c>
      <c r="H18" s="25">
        <v>2066</v>
      </c>
      <c r="I18" s="53">
        <v>30</v>
      </c>
      <c r="J18" s="56">
        <v>2096</v>
      </c>
    </row>
    <row r="19" spans="1:10" x14ac:dyDescent="0.25">
      <c r="A19" s="14" t="s">
        <v>13</v>
      </c>
      <c r="B19" s="54">
        <v>1754</v>
      </c>
      <c r="C19" s="53">
        <v>552</v>
      </c>
      <c r="D19" s="53">
        <v>32</v>
      </c>
      <c r="E19" s="53">
        <v>82</v>
      </c>
      <c r="F19" s="53">
        <v>0</v>
      </c>
      <c r="G19" s="53">
        <v>0</v>
      </c>
      <c r="H19" s="25">
        <v>2420</v>
      </c>
      <c r="I19" s="53">
        <v>45</v>
      </c>
      <c r="J19" s="56">
        <v>2465</v>
      </c>
    </row>
    <row r="20" spans="1:10" x14ac:dyDescent="0.25">
      <c r="A20" s="14" t="s">
        <v>14</v>
      </c>
      <c r="B20" s="54">
        <v>3519</v>
      </c>
      <c r="C20" s="54">
        <v>1485</v>
      </c>
      <c r="D20" s="53">
        <v>53</v>
      </c>
      <c r="E20" s="53">
        <v>132</v>
      </c>
      <c r="F20" s="53">
        <v>0</v>
      </c>
      <c r="G20" s="53">
        <v>0</v>
      </c>
      <c r="H20" s="25">
        <v>5189</v>
      </c>
      <c r="I20" s="53">
        <v>77</v>
      </c>
      <c r="J20" s="56">
        <v>5266</v>
      </c>
    </row>
    <row r="21" spans="1:10" x14ac:dyDescent="0.25">
      <c r="A21" s="14" t="s">
        <v>15</v>
      </c>
      <c r="B21" s="54">
        <v>1255</v>
      </c>
      <c r="C21" s="53">
        <v>493</v>
      </c>
      <c r="D21" s="53">
        <v>0</v>
      </c>
      <c r="E21" s="53">
        <v>18</v>
      </c>
      <c r="F21" s="53">
        <v>0</v>
      </c>
      <c r="G21" s="53">
        <v>0</v>
      </c>
      <c r="H21" s="25">
        <v>1766</v>
      </c>
      <c r="I21" s="53">
        <v>0</v>
      </c>
      <c r="J21" s="56">
        <v>1766</v>
      </c>
    </row>
    <row r="22" spans="1:10" x14ac:dyDescent="0.25">
      <c r="A22" s="14" t="s">
        <v>52</v>
      </c>
      <c r="B22" s="49">
        <v>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26">
        <v>0</v>
      </c>
      <c r="I22" s="49">
        <v>0</v>
      </c>
      <c r="J22" s="51">
        <v>0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52"/>
    </row>
    <row r="24" spans="1:10" ht="24.95" customHeight="1" thickBot="1" x14ac:dyDescent="0.3">
      <c r="A24" s="16" t="s">
        <v>16</v>
      </c>
      <c r="B24" s="22">
        <f>SUM(B7:B22)</f>
        <v>44010</v>
      </c>
      <c r="C24" s="22">
        <f t="shared" ref="C24:J24" si="0">SUM(C7:C22)</f>
        <v>35285</v>
      </c>
      <c r="D24" s="22">
        <f t="shared" si="0"/>
        <v>14027</v>
      </c>
      <c r="E24" s="22">
        <f t="shared" si="0"/>
        <v>4005</v>
      </c>
      <c r="F24" s="22">
        <f t="shared" si="0"/>
        <v>14628</v>
      </c>
      <c r="G24" s="22">
        <f t="shared" si="0"/>
        <v>14166</v>
      </c>
      <c r="H24" s="22">
        <f t="shared" si="0"/>
        <v>126121</v>
      </c>
      <c r="I24" s="22">
        <f t="shared" si="0"/>
        <v>1308</v>
      </c>
      <c r="J24" s="22">
        <f t="shared" si="0"/>
        <v>127429</v>
      </c>
    </row>
    <row r="25" spans="1:10" x14ac:dyDescent="0.25">
      <c r="A25" s="14" t="s">
        <v>17</v>
      </c>
      <c r="B25" s="58">
        <v>2103</v>
      </c>
      <c r="C25" s="58">
        <v>1470</v>
      </c>
      <c r="D25" s="57">
        <v>373</v>
      </c>
      <c r="E25" s="57">
        <v>177</v>
      </c>
      <c r="F25" s="58">
        <v>1918</v>
      </c>
      <c r="G25" s="58">
        <v>1011</v>
      </c>
      <c r="H25" s="25">
        <v>7052</v>
      </c>
      <c r="I25" s="57">
        <v>85</v>
      </c>
      <c r="J25" s="60">
        <v>7137</v>
      </c>
    </row>
    <row r="26" spans="1:10" x14ac:dyDescent="0.25">
      <c r="A26" s="14" t="s">
        <v>18</v>
      </c>
      <c r="B26" s="58">
        <v>7687</v>
      </c>
      <c r="C26" s="58">
        <v>6093</v>
      </c>
      <c r="D26" s="57">
        <v>971</v>
      </c>
      <c r="E26" s="57">
        <v>445</v>
      </c>
      <c r="F26" s="58">
        <v>4616</v>
      </c>
      <c r="G26" s="58">
        <v>3170</v>
      </c>
      <c r="H26" s="25">
        <v>22982</v>
      </c>
      <c r="I26" s="57">
        <v>152</v>
      </c>
      <c r="J26" s="60">
        <v>23134</v>
      </c>
    </row>
    <row r="27" spans="1:10" x14ac:dyDescent="0.25">
      <c r="A27" s="14" t="s">
        <v>19</v>
      </c>
      <c r="B27" s="58">
        <v>22404</v>
      </c>
      <c r="C27" s="58">
        <v>15917</v>
      </c>
      <c r="D27" s="58">
        <v>3853</v>
      </c>
      <c r="E27" s="58">
        <v>1140</v>
      </c>
      <c r="F27" s="58">
        <v>15680</v>
      </c>
      <c r="G27" s="58">
        <v>8855</v>
      </c>
      <c r="H27" s="25">
        <v>67849</v>
      </c>
      <c r="I27" s="57">
        <v>686</v>
      </c>
      <c r="J27" s="60">
        <v>68535</v>
      </c>
    </row>
    <row r="28" spans="1:10" x14ac:dyDescent="0.25">
      <c r="A28" s="14" t="s">
        <v>20</v>
      </c>
      <c r="B28" s="58">
        <v>40336</v>
      </c>
      <c r="C28" s="58">
        <v>20289</v>
      </c>
      <c r="D28" s="58">
        <v>11902</v>
      </c>
      <c r="E28" s="58">
        <v>1910</v>
      </c>
      <c r="F28" s="58">
        <v>19279</v>
      </c>
      <c r="G28" s="58">
        <v>12619</v>
      </c>
      <c r="H28" s="25">
        <v>106335</v>
      </c>
      <c r="I28" s="58">
        <v>1222</v>
      </c>
      <c r="J28" s="60">
        <v>107557</v>
      </c>
    </row>
    <row r="29" spans="1:10" x14ac:dyDescent="0.25">
      <c r="A29" s="14" t="s">
        <v>21</v>
      </c>
      <c r="B29" s="58">
        <v>64425</v>
      </c>
      <c r="C29" s="58">
        <v>27237</v>
      </c>
      <c r="D29" s="58">
        <v>16307</v>
      </c>
      <c r="E29" s="58">
        <v>5972</v>
      </c>
      <c r="F29" s="58">
        <v>19630</v>
      </c>
      <c r="G29" s="58">
        <v>9870</v>
      </c>
      <c r="H29" s="25">
        <v>143441</v>
      </c>
      <c r="I29" s="58">
        <v>1776</v>
      </c>
      <c r="J29" s="60">
        <v>145217</v>
      </c>
    </row>
    <row r="30" spans="1:10" x14ac:dyDescent="0.25">
      <c r="A30" s="14" t="s">
        <v>22</v>
      </c>
      <c r="B30" s="58">
        <v>98932</v>
      </c>
      <c r="C30" s="58">
        <v>60063</v>
      </c>
      <c r="D30" s="58">
        <v>9179</v>
      </c>
      <c r="E30" s="58">
        <v>6867</v>
      </c>
      <c r="F30" s="58">
        <v>14251</v>
      </c>
      <c r="G30" s="58">
        <v>13881</v>
      </c>
      <c r="H30" s="25">
        <v>203173</v>
      </c>
      <c r="I30" s="58">
        <v>2215</v>
      </c>
      <c r="J30" s="60">
        <v>205388</v>
      </c>
    </row>
    <row r="31" spans="1:10" x14ac:dyDescent="0.25">
      <c r="A31" s="14" t="s">
        <v>23</v>
      </c>
      <c r="B31" s="58">
        <v>40819</v>
      </c>
      <c r="C31" s="58">
        <v>20623</v>
      </c>
      <c r="D31" s="58">
        <v>4989</v>
      </c>
      <c r="E31" s="58">
        <v>13981</v>
      </c>
      <c r="F31" s="58">
        <v>12605</v>
      </c>
      <c r="G31" s="58">
        <v>4262</v>
      </c>
      <c r="H31" s="25">
        <v>97279</v>
      </c>
      <c r="I31" s="57">
        <v>496</v>
      </c>
      <c r="J31" s="60">
        <v>97775</v>
      </c>
    </row>
    <row r="32" spans="1:10" x14ac:dyDescent="0.25">
      <c r="A32" s="14" t="s">
        <v>24</v>
      </c>
      <c r="B32" s="58">
        <v>18833</v>
      </c>
      <c r="C32" s="58">
        <v>7023</v>
      </c>
      <c r="D32" s="58">
        <v>1475</v>
      </c>
      <c r="E32" s="58">
        <v>3930</v>
      </c>
      <c r="F32" s="57">
        <v>466</v>
      </c>
      <c r="G32" s="58">
        <v>1430</v>
      </c>
      <c r="H32" s="25">
        <v>33157</v>
      </c>
      <c r="I32" s="57">
        <v>2</v>
      </c>
      <c r="J32" s="60">
        <v>33159</v>
      </c>
    </row>
    <row r="33" spans="1:10" x14ac:dyDescent="0.25">
      <c r="A33" s="14" t="s">
        <v>25</v>
      </c>
      <c r="B33" s="58">
        <v>16315</v>
      </c>
      <c r="C33" s="58">
        <v>6555</v>
      </c>
      <c r="D33" s="57">
        <v>996</v>
      </c>
      <c r="E33" s="58">
        <v>1558</v>
      </c>
      <c r="F33" s="58">
        <v>1111</v>
      </c>
      <c r="G33" s="58">
        <v>1511</v>
      </c>
      <c r="H33" s="25">
        <v>28046</v>
      </c>
      <c r="I33" s="57">
        <v>0</v>
      </c>
      <c r="J33" s="60">
        <v>28046</v>
      </c>
    </row>
    <row r="34" spans="1:10" x14ac:dyDescent="0.25">
      <c r="A34" s="14" t="s">
        <v>53</v>
      </c>
      <c r="B34" s="49">
        <v>0</v>
      </c>
      <c r="C34" s="49">
        <v>0</v>
      </c>
      <c r="D34" s="49">
        <v>0</v>
      </c>
      <c r="E34" s="49">
        <v>0</v>
      </c>
      <c r="F34" s="49">
        <v>0</v>
      </c>
      <c r="G34" s="49">
        <v>0</v>
      </c>
      <c r="H34" s="26">
        <v>0</v>
      </c>
      <c r="I34" s="49">
        <v>0</v>
      </c>
      <c r="J34" s="51">
        <v>0</v>
      </c>
    </row>
    <row r="35" spans="1:10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51" t="s">
        <v>29</v>
      </c>
    </row>
    <row r="36" spans="1:10" ht="24.95" customHeight="1" thickBot="1" x14ac:dyDescent="0.3">
      <c r="A36" s="16" t="s">
        <v>26</v>
      </c>
      <c r="B36" s="22">
        <f>SUM(B25:B34)</f>
        <v>311854</v>
      </c>
      <c r="C36" s="22">
        <f t="shared" ref="C36:J36" si="1">SUM(C25:C34)</f>
        <v>165270</v>
      </c>
      <c r="D36" s="22">
        <f t="shared" si="1"/>
        <v>50045</v>
      </c>
      <c r="E36" s="22">
        <f t="shared" si="1"/>
        <v>35980</v>
      </c>
      <c r="F36" s="22">
        <f t="shared" si="1"/>
        <v>89556</v>
      </c>
      <c r="G36" s="22">
        <f t="shared" si="1"/>
        <v>56609</v>
      </c>
      <c r="H36" s="22">
        <f t="shared" si="1"/>
        <v>709314</v>
      </c>
      <c r="I36" s="22">
        <f t="shared" si="1"/>
        <v>6634</v>
      </c>
      <c r="J36" s="22">
        <f t="shared" si="1"/>
        <v>715948</v>
      </c>
    </row>
    <row r="37" spans="1:10" ht="30" customHeight="1" thickTop="1" thickBot="1" x14ac:dyDescent="0.3">
      <c r="A37" s="7" t="s">
        <v>27</v>
      </c>
      <c r="B37" s="23">
        <f>SUM(B24,B36)</f>
        <v>355864</v>
      </c>
      <c r="C37" s="23">
        <f t="shared" ref="C37:J37" si="2">SUM(C24,C36)</f>
        <v>200555</v>
      </c>
      <c r="D37" s="23">
        <f t="shared" si="2"/>
        <v>64072</v>
      </c>
      <c r="E37" s="23">
        <f t="shared" si="2"/>
        <v>39985</v>
      </c>
      <c r="F37" s="23">
        <f t="shared" si="2"/>
        <v>104184</v>
      </c>
      <c r="G37" s="23">
        <f t="shared" si="2"/>
        <v>70775</v>
      </c>
      <c r="H37" s="23">
        <f t="shared" si="2"/>
        <v>835435</v>
      </c>
      <c r="I37" s="23">
        <f t="shared" si="2"/>
        <v>7942</v>
      </c>
      <c r="J37" s="23">
        <f t="shared" si="2"/>
        <v>843377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44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61">
        <v>1</v>
      </c>
      <c r="C7" s="61">
        <v>0</v>
      </c>
      <c r="D7" s="61">
        <v>0</v>
      </c>
      <c r="E7" s="61">
        <v>0</v>
      </c>
      <c r="F7" s="61">
        <v>0</v>
      </c>
      <c r="G7" s="61">
        <v>0</v>
      </c>
      <c r="H7" s="26">
        <v>1</v>
      </c>
      <c r="I7" s="61">
        <v>0</v>
      </c>
      <c r="J7" s="63">
        <v>1</v>
      </c>
    </row>
    <row r="8" spans="1:10" x14ac:dyDescent="0.25">
      <c r="A8" s="14" t="s">
        <v>2</v>
      </c>
      <c r="B8" s="61">
        <v>1</v>
      </c>
      <c r="C8" s="61">
        <v>0</v>
      </c>
      <c r="D8" s="61">
        <v>0</v>
      </c>
      <c r="E8" s="61">
        <v>0</v>
      </c>
      <c r="F8" s="61">
        <v>3</v>
      </c>
      <c r="G8" s="61">
        <v>0</v>
      </c>
      <c r="H8" s="26">
        <v>4</v>
      </c>
      <c r="I8" s="61">
        <v>0</v>
      </c>
      <c r="J8" s="63">
        <v>4</v>
      </c>
    </row>
    <row r="9" spans="1:10" x14ac:dyDescent="0.25">
      <c r="A9" s="14" t="s">
        <v>3</v>
      </c>
      <c r="B9" s="61">
        <v>62</v>
      </c>
      <c r="C9" s="61">
        <v>38</v>
      </c>
      <c r="D9" s="61">
        <v>16</v>
      </c>
      <c r="E9" s="61">
        <v>5</v>
      </c>
      <c r="F9" s="61">
        <v>32</v>
      </c>
      <c r="G9" s="61">
        <v>29</v>
      </c>
      <c r="H9" s="26">
        <v>182</v>
      </c>
      <c r="I9" s="61">
        <v>2</v>
      </c>
      <c r="J9" s="63">
        <v>184</v>
      </c>
    </row>
    <row r="10" spans="1:10" x14ac:dyDescent="0.25">
      <c r="A10" s="14" t="s">
        <v>4</v>
      </c>
      <c r="B10" s="61">
        <v>153</v>
      </c>
      <c r="C10" s="61">
        <v>66</v>
      </c>
      <c r="D10" s="61">
        <v>33</v>
      </c>
      <c r="E10" s="61">
        <v>7</v>
      </c>
      <c r="F10" s="61">
        <v>114</v>
      </c>
      <c r="G10" s="61">
        <v>59</v>
      </c>
      <c r="H10" s="26">
        <v>432</v>
      </c>
      <c r="I10" s="61">
        <v>1</v>
      </c>
      <c r="J10" s="63">
        <v>433</v>
      </c>
    </row>
    <row r="11" spans="1:10" x14ac:dyDescent="0.25">
      <c r="A11" s="14" t="s">
        <v>5</v>
      </c>
      <c r="B11" s="62">
        <v>1462</v>
      </c>
      <c r="C11" s="62">
        <v>1745</v>
      </c>
      <c r="D11" s="62">
        <v>1247</v>
      </c>
      <c r="E11" s="61">
        <v>318</v>
      </c>
      <c r="F11" s="61">
        <v>980</v>
      </c>
      <c r="G11" s="62">
        <v>1107</v>
      </c>
      <c r="H11" s="25">
        <v>6859</v>
      </c>
      <c r="I11" s="61">
        <v>41</v>
      </c>
      <c r="J11" s="64">
        <v>6900</v>
      </c>
    </row>
    <row r="12" spans="1:10" x14ac:dyDescent="0.25">
      <c r="A12" s="14" t="s">
        <v>6</v>
      </c>
      <c r="B12" s="62">
        <v>3847</v>
      </c>
      <c r="C12" s="62">
        <v>5875</v>
      </c>
      <c r="D12" s="62">
        <v>3134</v>
      </c>
      <c r="E12" s="61">
        <v>979</v>
      </c>
      <c r="F12" s="62">
        <v>4069</v>
      </c>
      <c r="G12" s="62">
        <v>4357</v>
      </c>
      <c r="H12" s="25">
        <v>22261</v>
      </c>
      <c r="I12" s="61">
        <v>187</v>
      </c>
      <c r="J12" s="64">
        <v>22448</v>
      </c>
    </row>
    <row r="13" spans="1:10" x14ac:dyDescent="0.25">
      <c r="A13" s="14" t="s">
        <v>7</v>
      </c>
      <c r="B13" s="62">
        <v>6498</v>
      </c>
      <c r="C13" s="62">
        <v>6661</v>
      </c>
      <c r="D13" s="62">
        <v>4240</v>
      </c>
      <c r="E13" s="62">
        <v>1078</v>
      </c>
      <c r="F13" s="62">
        <v>3959</v>
      </c>
      <c r="G13" s="62">
        <v>4630</v>
      </c>
      <c r="H13" s="25">
        <v>27066</v>
      </c>
      <c r="I13" s="61">
        <v>259</v>
      </c>
      <c r="J13" s="64">
        <v>27325</v>
      </c>
    </row>
    <row r="14" spans="1:10" x14ac:dyDescent="0.25">
      <c r="A14" s="14" t="s">
        <v>8</v>
      </c>
      <c r="B14" s="62">
        <v>10123</v>
      </c>
      <c r="C14" s="62">
        <v>10096</v>
      </c>
      <c r="D14" s="62">
        <v>3570</v>
      </c>
      <c r="E14" s="61">
        <v>899</v>
      </c>
      <c r="F14" s="62">
        <v>3305</v>
      </c>
      <c r="G14" s="62">
        <v>3133</v>
      </c>
      <c r="H14" s="25">
        <v>31126</v>
      </c>
      <c r="I14" s="61">
        <v>501</v>
      </c>
      <c r="J14" s="64">
        <v>31627</v>
      </c>
    </row>
    <row r="15" spans="1:10" x14ac:dyDescent="0.25">
      <c r="A15" s="14" t="s">
        <v>9</v>
      </c>
      <c r="B15" s="62">
        <v>7805</v>
      </c>
      <c r="C15" s="62">
        <v>5010</v>
      </c>
      <c r="D15" s="62">
        <v>1075</v>
      </c>
      <c r="E15" s="61">
        <v>210</v>
      </c>
      <c r="F15" s="62">
        <v>1101</v>
      </c>
      <c r="G15" s="61">
        <v>509</v>
      </c>
      <c r="H15" s="25">
        <v>15710</v>
      </c>
      <c r="I15" s="61">
        <v>120</v>
      </c>
      <c r="J15" s="64">
        <v>15830</v>
      </c>
    </row>
    <row r="16" spans="1:10" x14ac:dyDescent="0.25">
      <c r="A16" s="14" t="s">
        <v>10</v>
      </c>
      <c r="B16" s="62">
        <v>5718</v>
      </c>
      <c r="C16" s="62">
        <v>2534</v>
      </c>
      <c r="D16" s="61">
        <v>672</v>
      </c>
      <c r="E16" s="61">
        <v>227</v>
      </c>
      <c r="F16" s="62">
        <v>1060</v>
      </c>
      <c r="G16" s="61">
        <v>345</v>
      </c>
      <c r="H16" s="25">
        <v>10556</v>
      </c>
      <c r="I16" s="61">
        <v>44</v>
      </c>
      <c r="J16" s="64">
        <v>10600</v>
      </c>
    </row>
    <row r="17" spans="1:10" x14ac:dyDescent="0.25">
      <c r="A17" s="14" t="s">
        <v>11</v>
      </c>
      <c r="B17" s="61">
        <v>380</v>
      </c>
      <c r="C17" s="61">
        <v>92</v>
      </c>
      <c r="D17" s="61">
        <v>1</v>
      </c>
      <c r="E17" s="61">
        <v>16</v>
      </c>
      <c r="F17" s="61">
        <v>0</v>
      </c>
      <c r="G17" s="61">
        <v>0</v>
      </c>
      <c r="H17" s="26">
        <v>489</v>
      </c>
      <c r="I17" s="61">
        <v>0</v>
      </c>
      <c r="J17" s="63">
        <v>489</v>
      </c>
    </row>
    <row r="18" spans="1:10" x14ac:dyDescent="0.25">
      <c r="A18" s="14" t="s">
        <v>12</v>
      </c>
      <c r="B18" s="62">
        <v>1394</v>
      </c>
      <c r="C18" s="61">
        <v>619</v>
      </c>
      <c r="D18" s="61">
        <v>13</v>
      </c>
      <c r="E18" s="61">
        <v>40</v>
      </c>
      <c r="F18" s="61">
        <v>0</v>
      </c>
      <c r="G18" s="61">
        <v>0</v>
      </c>
      <c r="H18" s="25">
        <v>2066</v>
      </c>
      <c r="I18" s="61">
        <v>29</v>
      </c>
      <c r="J18" s="64">
        <v>2095</v>
      </c>
    </row>
    <row r="19" spans="1:10" x14ac:dyDescent="0.25">
      <c r="A19" s="14" t="s">
        <v>13</v>
      </c>
      <c r="B19" s="62">
        <v>1774</v>
      </c>
      <c r="C19" s="61">
        <v>565</v>
      </c>
      <c r="D19" s="61">
        <v>32</v>
      </c>
      <c r="E19" s="61">
        <v>82</v>
      </c>
      <c r="F19" s="61">
        <v>0</v>
      </c>
      <c r="G19" s="61">
        <v>0</v>
      </c>
      <c r="H19" s="25">
        <v>2453</v>
      </c>
      <c r="I19" s="61">
        <v>45</v>
      </c>
      <c r="J19" s="64">
        <v>2498</v>
      </c>
    </row>
    <row r="20" spans="1:10" x14ac:dyDescent="0.25">
      <c r="A20" s="14" t="s">
        <v>14</v>
      </c>
      <c r="B20" s="62">
        <v>3537</v>
      </c>
      <c r="C20" s="62">
        <v>1482</v>
      </c>
      <c r="D20" s="61">
        <v>53</v>
      </c>
      <c r="E20" s="61">
        <v>131</v>
      </c>
      <c r="F20" s="61">
        <v>0</v>
      </c>
      <c r="G20" s="61">
        <v>0</v>
      </c>
      <c r="H20" s="25">
        <v>5203</v>
      </c>
      <c r="I20" s="61">
        <v>76</v>
      </c>
      <c r="J20" s="64">
        <v>5279</v>
      </c>
    </row>
    <row r="21" spans="1:10" x14ac:dyDescent="0.25">
      <c r="A21" s="14" t="s">
        <v>15</v>
      </c>
      <c r="B21" s="62">
        <v>1228</v>
      </c>
      <c r="C21" s="61">
        <v>489</v>
      </c>
      <c r="D21" s="61">
        <v>0</v>
      </c>
      <c r="E21" s="61">
        <v>38</v>
      </c>
      <c r="F21" s="61">
        <v>0</v>
      </c>
      <c r="G21" s="61">
        <v>0</v>
      </c>
      <c r="H21" s="25">
        <v>1755</v>
      </c>
      <c r="I21" s="61">
        <v>0</v>
      </c>
      <c r="J21" s="64">
        <v>1755</v>
      </c>
    </row>
    <row r="22" spans="1:10" x14ac:dyDescent="0.25">
      <c r="A22" s="14" t="s">
        <v>52</v>
      </c>
      <c r="B22" s="57">
        <v>0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26">
        <v>0</v>
      </c>
      <c r="I22" s="57">
        <v>0</v>
      </c>
      <c r="J22" s="59">
        <v>0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60"/>
    </row>
    <row r="24" spans="1:10" ht="24.95" customHeight="1" thickBot="1" x14ac:dyDescent="0.3">
      <c r="A24" s="16" t="s">
        <v>16</v>
      </c>
      <c r="B24" s="22">
        <f>SUM(B7:B22)</f>
        <v>43983</v>
      </c>
      <c r="C24" s="22">
        <f t="shared" ref="C24:J24" si="0">SUM(C7:C22)</f>
        <v>35272</v>
      </c>
      <c r="D24" s="22">
        <f t="shared" si="0"/>
        <v>14086</v>
      </c>
      <c r="E24" s="22">
        <f t="shared" si="0"/>
        <v>4030</v>
      </c>
      <c r="F24" s="22">
        <f t="shared" si="0"/>
        <v>14623</v>
      </c>
      <c r="G24" s="22">
        <f t="shared" si="0"/>
        <v>14169</v>
      </c>
      <c r="H24" s="22">
        <f t="shared" si="0"/>
        <v>126163</v>
      </c>
      <c r="I24" s="22">
        <f t="shared" si="0"/>
        <v>1305</v>
      </c>
      <c r="J24" s="22">
        <f t="shared" si="0"/>
        <v>127468</v>
      </c>
    </row>
    <row r="25" spans="1:10" x14ac:dyDescent="0.25">
      <c r="A25" s="14" t="s">
        <v>17</v>
      </c>
      <c r="B25" s="66">
        <v>2113</v>
      </c>
      <c r="C25" s="66">
        <v>1475</v>
      </c>
      <c r="D25" s="65">
        <v>357</v>
      </c>
      <c r="E25" s="65">
        <v>176</v>
      </c>
      <c r="F25" s="66">
        <v>1929</v>
      </c>
      <c r="G25" s="66">
        <v>1016</v>
      </c>
      <c r="H25" s="25">
        <v>7066</v>
      </c>
      <c r="I25" s="65">
        <v>85</v>
      </c>
      <c r="J25" s="68">
        <v>7151</v>
      </c>
    </row>
    <row r="26" spans="1:10" x14ac:dyDescent="0.25">
      <c r="A26" s="14" t="s">
        <v>18</v>
      </c>
      <c r="B26" s="66">
        <v>7701</v>
      </c>
      <c r="C26" s="66">
        <v>6047</v>
      </c>
      <c r="D26" s="65">
        <v>960</v>
      </c>
      <c r="E26" s="65">
        <v>455</v>
      </c>
      <c r="F26" s="66">
        <v>4605</v>
      </c>
      <c r="G26" s="66">
        <v>3170</v>
      </c>
      <c r="H26" s="25">
        <v>22938</v>
      </c>
      <c r="I26" s="65">
        <v>151</v>
      </c>
      <c r="J26" s="68">
        <v>23089</v>
      </c>
    </row>
    <row r="27" spans="1:10" x14ac:dyDescent="0.25">
      <c r="A27" s="14" t="s">
        <v>19</v>
      </c>
      <c r="B27" s="66">
        <v>22369</v>
      </c>
      <c r="C27" s="66">
        <v>15855</v>
      </c>
      <c r="D27" s="66">
        <v>3826</v>
      </c>
      <c r="E27" s="66">
        <v>1126</v>
      </c>
      <c r="F27" s="66">
        <v>15686</v>
      </c>
      <c r="G27" s="66">
        <v>8818</v>
      </c>
      <c r="H27" s="25">
        <v>67680</v>
      </c>
      <c r="I27" s="65">
        <v>683</v>
      </c>
      <c r="J27" s="68">
        <v>68363</v>
      </c>
    </row>
    <row r="28" spans="1:10" x14ac:dyDescent="0.25">
      <c r="A28" s="14" t="s">
        <v>20</v>
      </c>
      <c r="B28" s="66">
        <v>40324</v>
      </c>
      <c r="C28" s="66">
        <v>20412</v>
      </c>
      <c r="D28" s="66">
        <v>11793</v>
      </c>
      <c r="E28" s="66">
        <v>1889</v>
      </c>
      <c r="F28" s="66">
        <v>19264</v>
      </c>
      <c r="G28" s="66">
        <v>12608</v>
      </c>
      <c r="H28" s="25">
        <v>106290</v>
      </c>
      <c r="I28" s="66">
        <v>1240</v>
      </c>
      <c r="J28" s="68">
        <v>107530</v>
      </c>
    </row>
    <row r="29" spans="1:10" x14ac:dyDescent="0.25">
      <c r="A29" s="14" t="s">
        <v>21</v>
      </c>
      <c r="B29" s="66">
        <v>64632</v>
      </c>
      <c r="C29" s="66">
        <v>27208</v>
      </c>
      <c r="D29" s="66">
        <v>16115</v>
      </c>
      <c r="E29" s="66">
        <v>5894</v>
      </c>
      <c r="F29" s="66">
        <v>19558</v>
      </c>
      <c r="G29" s="66">
        <v>9815</v>
      </c>
      <c r="H29" s="25">
        <v>143222</v>
      </c>
      <c r="I29" s="66">
        <v>1780</v>
      </c>
      <c r="J29" s="68">
        <v>145002</v>
      </c>
    </row>
    <row r="30" spans="1:10" x14ac:dyDescent="0.25">
      <c r="A30" s="14" t="s">
        <v>22</v>
      </c>
      <c r="B30" s="66">
        <v>98480</v>
      </c>
      <c r="C30" s="66">
        <v>60348</v>
      </c>
      <c r="D30" s="66">
        <v>9143</v>
      </c>
      <c r="E30" s="66">
        <v>6804</v>
      </c>
      <c r="F30" s="66">
        <v>14408</v>
      </c>
      <c r="G30" s="66">
        <v>14038</v>
      </c>
      <c r="H30" s="25">
        <v>203221</v>
      </c>
      <c r="I30" s="66">
        <v>2218</v>
      </c>
      <c r="J30" s="68">
        <v>205439</v>
      </c>
    </row>
    <row r="31" spans="1:10" x14ac:dyDescent="0.25">
      <c r="A31" s="14" t="s">
        <v>23</v>
      </c>
      <c r="B31" s="66">
        <v>40730</v>
      </c>
      <c r="C31" s="66">
        <v>20612</v>
      </c>
      <c r="D31" s="66">
        <v>5088</v>
      </c>
      <c r="E31" s="66">
        <v>14209</v>
      </c>
      <c r="F31" s="66">
        <v>12585</v>
      </c>
      <c r="G31" s="66">
        <v>4163</v>
      </c>
      <c r="H31" s="25">
        <v>97387</v>
      </c>
      <c r="I31" s="65">
        <v>494</v>
      </c>
      <c r="J31" s="68">
        <v>97881</v>
      </c>
    </row>
    <row r="32" spans="1:10" x14ac:dyDescent="0.25">
      <c r="A32" s="14" t="s">
        <v>24</v>
      </c>
      <c r="B32" s="66">
        <v>19006</v>
      </c>
      <c r="C32" s="66">
        <v>6954</v>
      </c>
      <c r="D32" s="66">
        <v>1450</v>
      </c>
      <c r="E32" s="66">
        <v>3918</v>
      </c>
      <c r="F32" s="65">
        <v>505</v>
      </c>
      <c r="G32" s="66">
        <v>1406</v>
      </c>
      <c r="H32" s="25">
        <v>33239</v>
      </c>
      <c r="I32" s="65">
        <v>2</v>
      </c>
      <c r="J32" s="68">
        <v>33241</v>
      </c>
    </row>
    <row r="33" spans="1:10" x14ac:dyDescent="0.25">
      <c r="A33" s="14" t="s">
        <v>25</v>
      </c>
      <c r="B33" s="66">
        <v>16113</v>
      </c>
      <c r="C33" s="66">
        <v>6759</v>
      </c>
      <c r="D33" s="65">
        <v>982</v>
      </c>
      <c r="E33" s="66">
        <v>1507</v>
      </c>
      <c r="F33" s="66">
        <v>1162</v>
      </c>
      <c r="G33" s="66">
        <v>1466</v>
      </c>
      <c r="H33" s="25">
        <v>27989</v>
      </c>
      <c r="I33" s="65">
        <v>0</v>
      </c>
      <c r="J33" s="68">
        <v>27989</v>
      </c>
    </row>
    <row r="34" spans="1:10" x14ac:dyDescent="0.25">
      <c r="A34" s="14" t="s">
        <v>53</v>
      </c>
      <c r="B34" s="65">
        <v>0</v>
      </c>
      <c r="C34" s="65">
        <v>0</v>
      </c>
      <c r="D34" s="65">
        <v>0</v>
      </c>
      <c r="E34" s="65">
        <v>0</v>
      </c>
      <c r="F34" s="65">
        <v>1</v>
      </c>
      <c r="G34" s="65">
        <v>0</v>
      </c>
      <c r="H34" s="26">
        <v>1</v>
      </c>
      <c r="I34" s="65">
        <v>0</v>
      </c>
      <c r="J34" s="67">
        <v>1</v>
      </c>
    </row>
    <row r="35" spans="1:10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59" t="s">
        <v>29</v>
      </c>
    </row>
    <row r="36" spans="1:10" ht="24.95" customHeight="1" thickBot="1" x14ac:dyDescent="0.3">
      <c r="A36" s="16" t="s">
        <v>26</v>
      </c>
      <c r="B36" s="22">
        <f>SUM(B25:B34)</f>
        <v>311468</v>
      </c>
      <c r="C36" s="22">
        <f t="shared" ref="C36:J36" si="1">SUM(C25:C34)</f>
        <v>165670</v>
      </c>
      <c r="D36" s="22">
        <f t="shared" si="1"/>
        <v>49714</v>
      </c>
      <c r="E36" s="22">
        <f t="shared" si="1"/>
        <v>35978</v>
      </c>
      <c r="F36" s="22">
        <f t="shared" si="1"/>
        <v>89703</v>
      </c>
      <c r="G36" s="22">
        <f t="shared" si="1"/>
        <v>56500</v>
      </c>
      <c r="H36" s="22">
        <f t="shared" si="1"/>
        <v>709033</v>
      </c>
      <c r="I36" s="22">
        <f t="shared" si="1"/>
        <v>6653</v>
      </c>
      <c r="J36" s="22">
        <f t="shared" si="1"/>
        <v>715686</v>
      </c>
    </row>
    <row r="37" spans="1:10" ht="30" customHeight="1" thickTop="1" thickBot="1" x14ac:dyDescent="0.3">
      <c r="A37" s="7" t="s">
        <v>27</v>
      </c>
      <c r="B37" s="23">
        <f>SUM(B24,B36)</f>
        <v>355451</v>
      </c>
      <c r="C37" s="23">
        <f t="shared" ref="C37:J37" si="2">SUM(C24,C36)</f>
        <v>200942</v>
      </c>
      <c r="D37" s="23">
        <f t="shared" si="2"/>
        <v>63800</v>
      </c>
      <c r="E37" s="23">
        <f t="shared" si="2"/>
        <v>40008</v>
      </c>
      <c r="F37" s="23">
        <f t="shared" si="2"/>
        <v>104326</v>
      </c>
      <c r="G37" s="23">
        <f t="shared" si="2"/>
        <v>70669</v>
      </c>
      <c r="H37" s="23">
        <f t="shared" si="2"/>
        <v>835196</v>
      </c>
      <c r="I37" s="23">
        <f t="shared" si="2"/>
        <v>7958</v>
      </c>
      <c r="J37" s="23">
        <f t="shared" si="2"/>
        <v>843154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45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69">
        <v>1</v>
      </c>
      <c r="C7" s="69">
        <v>0</v>
      </c>
      <c r="D7" s="69">
        <v>0</v>
      </c>
      <c r="E7" s="69">
        <v>0</v>
      </c>
      <c r="F7" s="69">
        <v>0</v>
      </c>
      <c r="G7" s="69">
        <v>0</v>
      </c>
      <c r="H7" s="26">
        <v>1</v>
      </c>
      <c r="I7" s="69">
        <v>0</v>
      </c>
      <c r="J7" s="71">
        <v>1</v>
      </c>
    </row>
    <row r="8" spans="1:10" x14ac:dyDescent="0.25">
      <c r="A8" s="14" t="s">
        <v>2</v>
      </c>
      <c r="B8" s="69">
        <v>1</v>
      </c>
      <c r="C8" s="69">
        <v>0</v>
      </c>
      <c r="D8" s="69">
        <v>0</v>
      </c>
      <c r="E8" s="69">
        <v>0</v>
      </c>
      <c r="F8" s="69">
        <v>4</v>
      </c>
      <c r="G8" s="69">
        <v>0</v>
      </c>
      <c r="H8" s="26">
        <v>5</v>
      </c>
      <c r="I8" s="69">
        <v>0</v>
      </c>
      <c r="J8" s="71">
        <v>5</v>
      </c>
    </row>
    <row r="9" spans="1:10" x14ac:dyDescent="0.25">
      <c r="A9" s="14" t="s">
        <v>3</v>
      </c>
      <c r="B9" s="69">
        <v>62</v>
      </c>
      <c r="C9" s="69">
        <v>40</v>
      </c>
      <c r="D9" s="69">
        <v>16</v>
      </c>
      <c r="E9" s="69">
        <v>6</v>
      </c>
      <c r="F9" s="69">
        <v>31</v>
      </c>
      <c r="G9" s="69">
        <v>29</v>
      </c>
      <c r="H9" s="26">
        <v>184</v>
      </c>
      <c r="I9" s="69">
        <v>2</v>
      </c>
      <c r="J9" s="71">
        <v>186</v>
      </c>
    </row>
    <row r="10" spans="1:10" x14ac:dyDescent="0.25">
      <c r="A10" s="14" t="s">
        <v>4</v>
      </c>
      <c r="B10" s="69">
        <v>155</v>
      </c>
      <c r="C10" s="69">
        <v>69</v>
      </c>
      <c r="D10" s="69">
        <v>33</v>
      </c>
      <c r="E10" s="69">
        <v>6</v>
      </c>
      <c r="F10" s="69">
        <v>111</v>
      </c>
      <c r="G10" s="69">
        <v>59</v>
      </c>
      <c r="H10" s="26">
        <v>433</v>
      </c>
      <c r="I10" s="69">
        <v>1</v>
      </c>
      <c r="J10" s="71">
        <v>434</v>
      </c>
    </row>
    <row r="11" spans="1:10" x14ac:dyDescent="0.25">
      <c r="A11" s="14" t="s">
        <v>5</v>
      </c>
      <c r="B11" s="70">
        <v>1477</v>
      </c>
      <c r="C11" s="70">
        <v>1781</v>
      </c>
      <c r="D11" s="70">
        <v>1241</v>
      </c>
      <c r="E11" s="69">
        <v>318</v>
      </c>
      <c r="F11" s="69">
        <v>969</v>
      </c>
      <c r="G11" s="70">
        <v>1110</v>
      </c>
      <c r="H11" s="25">
        <v>6896</v>
      </c>
      <c r="I11" s="69">
        <v>41</v>
      </c>
      <c r="J11" s="72">
        <v>6937</v>
      </c>
    </row>
    <row r="12" spans="1:10" x14ac:dyDescent="0.25">
      <c r="A12" s="14" t="s">
        <v>6</v>
      </c>
      <c r="B12" s="70">
        <v>3823</v>
      </c>
      <c r="C12" s="70">
        <v>5860</v>
      </c>
      <c r="D12" s="70">
        <v>3124</v>
      </c>
      <c r="E12" s="69">
        <v>975</v>
      </c>
      <c r="F12" s="70">
        <v>4049</v>
      </c>
      <c r="G12" s="70">
        <v>4331</v>
      </c>
      <c r="H12" s="25">
        <v>22162</v>
      </c>
      <c r="I12" s="69">
        <v>185</v>
      </c>
      <c r="J12" s="72">
        <v>22347</v>
      </c>
    </row>
    <row r="13" spans="1:10" x14ac:dyDescent="0.25">
      <c r="A13" s="14" t="s">
        <v>7</v>
      </c>
      <c r="B13" s="70">
        <v>6550</v>
      </c>
      <c r="C13" s="70">
        <v>6610</v>
      </c>
      <c r="D13" s="70">
        <v>4219</v>
      </c>
      <c r="E13" s="70">
        <v>1072</v>
      </c>
      <c r="F13" s="70">
        <v>3943</v>
      </c>
      <c r="G13" s="70">
        <v>4705</v>
      </c>
      <c r="H13" s="25">
        <v>27099</v>
      </c>
      <c r="I13" s="69">
        <v>258</v>
      </c>
      <c r="J13" s="72">
        <v>27357</v>
      </c>
    </row>
    <row r="14" spans="1:10" x14ac:dyDescent="0.25">
      <c r="A14" s="14" t="s">
        <v>8</v>
      </c>
      <c r="B14" s="70">
        <v>10127</v>
      </c>
      <c r="C14" s="70">
        <v>10072</v>
      </c>
      <c r="D14" s="70">
        <v>3598</v>
      </c>
      <c r="E14" s="69">
        <v>904</v>
      </c>
      <c r="F14" s="70">
        <v>3318</v>
      </c>
      <c r="G14" s="70">
        <v>3019</v>
      </c>
      <c r="H14" s="25">
        <v>31038</v>
      </c>
      <c r="I14" s="69">
        <v>499</v>
      </c>
      <c r="J14" s="72">
        <v>31537</v>
      </c>
    </row>
    <row r="15" spans="1:10" x14ac:dyDescent="0.25">
      <c r="A15" s="14" t="s">
        <v>9</v>
      </c>
      <c r="B15" s="70">
        <v>7787</v>
      </c>
      <c r="C15" s="70">
        <v>5119</v>
      </c>
      <c r="D15" s="70">
        <v>1080</v>
      </c>
      <c r="E15" s="69">
        <v>245</v>
      </c>
      <c r="F15" s="70">
        <v>1210</v>
      </c>
      <c r="G15" s="69">
        <v>520</v>
      </c>
      <c r="H15" s="25">
        <v>15961</v>
      </c>
      <c r="I15" s="69">
        <v>118</v>
      </c>
      <c r="J15" s="72">
        <v>16079</v>
      </c>
    </row>
    <row r="16" spans="1:10" x14ac:dyDescent="0.25">
      <c r="A16" s="14" t="s">
        <v>10</v>
      </c>
      <c r="B16" s="70">
        <v>5657</v>
      </c>
      <c r="C16" s="70">
        <v>2488</v>
      </c>
      <c r="D16" s="69">
        <v>695</v>
      </c>
      <c r="E16" s="69">
        <v>198</v>
      </c>
      <c r="F16" s="70">
        <v>1017</v>
      </c>
      <c r="G16" s="69">
        <v>337</v>
      </c>
      <c r="H16" s="25">
        <v>10392</v>
      </c>
      <c r="I16" s="69">
        <v>44</v>
      </c>
      <c r="J16" s="72">
        <v>10436</v>
      </c>
    </row>
    <row r="17" spans="1:10" x14ac:dyDescent="0.25">
      <c r="A17" s="14" t="s">
        <v>11</v>
      </c>
      <c r="B17" s="69">
        <v>385</v>
      </c>
      <c r="C17" s="69">
        <v>91</v>
      </c>
      <c r="D17" s="69">
        <v>1</v>
      </c>
      <c r="E17" s="69">
        <v>15</v>
      </c>
      <c r="F17" s="69">
        <v>0</v>
      </c>
      <c r="G17" s="69">
        <v>0</v>
      </c>
      <c r="H17" s="26">
        <v>492</v>
      </c>
      <c r="I17" s="69">
        <v>0</v>
      </c>
      <c r="J17" s="71">
        <v>492</v>
      </c>
    </row>
    <row r="18" spans="1:10" x14ac:dyDescent="0.25">
      <c r="A18" s="14" t="s">
        <v>12</v>
      </c>
      <c r="B18" s="70">
        <v>1410</v>
      </c>
      <c r="C18" s="69">
        <v>626</v>
      </c>
      <c r="D18" s="69">
        <v>12</v>
      </c>
      <c r="E18" s="69">
        <v>41</v>
      </c>
      <c r="F18" s="69">
        <v>0</v>
      </c>
      <c r="G18" s="69">
        <v>0</v>
      </c>
      <c r="H18" s="25">
        <v>2089</v>
      </c>
      <c r="I18" s="69">
        <v>28</v>
      </c>
      <c r="J18" s="72">
        <v>2117</v>
      </c>
    </row>
    <row r="19" spans="1:10" x14ac:dyDescent="0.25">
      <c r="A19" s="14" t="s">
        <v>13</v>
      </c>
      <c r="B19" s="70">
        <v>1799</v>
      </c>
      <c r="C19" s="69">
        <v>554</v>
      </c>
      <c r="D19" s="69">
        <v>27</v>
      </c>
      <c r="E19" s="69">
        <v>84</v>
      </c>
      <c r="F19" s="69">
        <v>0</v>
      </c>
      <c r="G19" s="69">
        <v>0</v>
      </c>
      <c r="H19" s="25">
        <v>2464</v>
      </c>
      <c r="I19" s="69">
        <v>43</v>
      </c>
      <c r="J19" s="72">
        <v>2507</v>
      </c>
    </row>
    <row r="20" spans="1:10" x14ac:dyDescent="0.25">
      <c r="A20" s="14" t="s">
        <v>14</v>
      </c>
      <c r="B20" s="70">
        <v>3534</v>
      </c>
      <c r="C20" s="70">
        <v>1498</v>
      </c>
      <c r="D20" s="69">
        <v>52</v>
      </c>
      <c r="E20" s="69">
        <v>126</v>
      </c>
      <c r="F20" s="69">
        <v>0</v>
      </c>
      <c r="G20" s="69">
        <v>0</v>
      </c>
      <c r="H20" s="25">
        <v>5210</v>
      </c>
      <c r="I20" s="69">
        <v>76</v>
      </c>
      <c r="J20" s="72">
        <v>5286</v>
      </c>
    </row>
    <row r="21" spans="1:10" x14ac:dyDescent="0.25">
      <c r="A21" s="14" t="s">
        <v>15</v>
      </c>
      <c r="B21" s="70">
        <v>1199</v>
      </c>
      <c r="C21" s="69">
        <v>479</v>
      </c>
      <c r="D21" s="69">
        <v>0</v>
      </c>
      <c r="E21" s="69">
        <v>38</v>
      </c>
      <c r="F21" s="69">
        <v>0</v>
      </c>
      <c r="G21" s="69">
        <v>0</v>
      </c>
      <c r="H21" s="25">
        <v>1716</v>
      </c>
      <c r="I21" s="69">
        <v>0</v>
      </c>
      <c r="J21" s="72">
        <v>1716</v>
      </c>
    </row>
    <row r="22" spans="1:10" x14ac:dyDescent="0.25">
      <c r="A22" s="14" t="s">
        <v>52</v>
      </c>
      <c r="B22" s="69">
        <v>0</v>
      </c>
      <c r="C22" s="69">
        <v>0</v>
      </c>
      <c r="D22" s="69">
        <v>0</v>
      </c>
      <c r="E22" s="69">
        <v>0</v>
      </c>
      <c r="F22" s="69">
        <v>2</v>
      </c>
      <c r="G22" s="69">
        <v>1</v>
      </c>
      <c r="H22" s="26">
        <v>3</v>
      </c>
      <c r="I22" s="69">
        <v>0</v>
      </c>
      <c r="J22" s="71">
        <v>3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68"/>
    </row>
    <row r="24" spans="1:10" ht="24.95" customHeight="1" thickBot="1" x14ac:dyDescent="0.3">
      <c r="A24" s="16" t="s">
        <v>16</v>
      </c>
      <c r="B24" s="22">
        <f>SUM(B7:B22)</f>
        <v>43967</v>
      </c>
      <c r="C24" s="22">
        <f t="shared" ref="C24:J24" si="0">SUM(C7:C22)</f>
        <v>35287</v>
      </c>
      <c r="D24" s="22">
        <f t="shared" si="0"/>
        <v>14098</v>
      </c>
      <c r="E24" s="22">
        <f t="shared" si="0"/>
        <v>4028</v>
      </c>
      <c r="F24" s="22">
        <f t="shared" si="0"/>
        <v>14654</v>
      </c>
      <c r="G24" s="22">
        <f t="shared" si="0"/>
        <v>14111</v>
      </c>
      <c r="H24" s="22">
        <f t="shared" si="0"/>
        <v>126145</v>
      </c>
      <c r="I24" s="22">
        <f t="shared" si="0"/>
        <v>1295</v>
      </c>
      <c r="J24" s="22">
        <f t="shared" si="0"/>
        <v>127440</v>
      </c>
    </row>
    <row r="25" spans="1:10" x14ac:dyDescent="0.25">
      <c r="A25" s="14" t="s">
        <v>17</v>
      </c>
      <c r="B25" s="74">
        <v>2114</v>
      </c>
      <c r="C25" s="74">
        <v>1465</v>
      </c>
      <c r="D25" s="73">
        <v>355</v>
      </c>
      <c r="E25" s="73">
        <v>173</v>
      </c>
      <c r="F25" s="74">
        <v>1925</v>
      </c>
      <c r="G25" s="74">
        <v>1022</v>
      </c>
      <c r="H25" s="25">
        <v>7054</v>
      </c>
      <c r="I25" s="73">
        <v>85</v>
      </c>
      <c r="J25" s="76">
        <v>7139</v>
      </c>
    </row>
    <row r="26" spans="1:10" x14ac:dyDescent="0.25">
      <c r="A26" s="14" t="s">
        <v>18</v>
      </c>
      <c r="B26" s="74">
        <v>7728</v>
      </c>
      <c r="C26" s="74">
        <v>6042</v>
      </c>
      <c r="D26" s="73">
        <v>968</v>
      </c>
      <c r="E26" s="73">
        <v>459</v>
      </c>
      <c r="F26" s="74">
        <v>4601</v>
      </c>
      <c r="G26" s="74">
        <v>3145</v>
      </c>
      <c r="H26" s="25">
        <v>22943</v>
      </c>
      <c r="I26" s="73">
        <v>152</v>
      </c>
      <c r="J26" s="76">
        <v>23095</v>
      </c>
    </row>
    <row r="27" spans="1:10" x14ac:dyDescent="0.25">
      <c r="A27" s="14" t="s">
        <v>19</v>
      </c>
      <c r="B27" s="74">
        <v>22402</v>
      </c>
      <c r="C27" s="74">
        <v>15763</v>
      </c>
      <c r="D27" s="74">
        <v>3822</v>
      </c>
      <c r="E27" s="74">
        <v>1113</v>
      </c>
      <c r="F27" s="74">
        <v>15643</v>
      </c>
      <c r="G27" s="74">
        <v>8799</v>
      </c>
      <c r="H27" s="25">
        <v>67542</v>
      </c>
      <c r="I27" s="73">
        <v>699</v>
      </c>
      <c r="J27" s="76">
        <v>68241</v>
      </c>
    </row>
    <row r="28" spans="1:10" x14ac:dyDescent="0.25">
      <c r="A28" s="14" t="s">
        <v>20</v>
      </c>
      <c r="B28" s="74">
        <v>40104</v>
      </c>
      <c r="C28" s="74">
        <v>20382</v>
      </c>
      <c r="D28" s="74">
        <v>11722</v>
      </c>
      <c r="E28" s="74">
        <v>1906</v>
      </c>
      <c r="F28" s="74">
        <v>19239</v>
      </c>
      <c r="G28" s="74">
        <v>12608</v>
      </c>
      <c r="H28" s="25">
        <v>105961</v>
      </c>
      <c r="I28" s="74">
        <v>1237</v>
      </c>
      <c r="J28" s="76">
        <v>107198</v>
      </c>
    </row>
    <row r="29" spans="1:10" x14ac:dyDescent="0.25">
      <c r="A29" s="14" t="s">
        <v>21</v>
      </c>
      <c r="B29" s="74">
        <v>64845</v>
      </c>
      <c r="C29" s="74">
        <v>27223</v>
      </c>
      <c r="D29" s="74">
        <v>15984</v>
      </c>
      <c r="E29" s="74">
        <v>5723</v>
      </c>
      <c r="F29" s="74">
        <v>19458</v>
      </c>
      <c r="G29" s="74">
        <v>9691</v>
      </c>
      <c r="H29" s="25">
        <v>142924</v>
      </c>
      <c r="I29" s="74">
        <v>1766</v>
      </c>
      <c r="J29" s="76">
        <v>144690</v>
      </c>
    </row>
    <row r="30" spans="1:10" x14ac:dyDescent="0.25">
      <c r="A30" s="14" t="s">
        <v>22</v>
      </c>
      <c r="B30" s="74">
        <v>98096</v>
      </c>
      <c r="C30" s="74">
        <v>60379</v>
      </c>
      <c r="D30" s="74">
        <v>9133</v>
      </c>
      <c r="E30" s="74">
        <v>6744</v>
      </c>
      <c r="F30" s="74">
        <v>14467</v>
      </c>
      <c r="G30" s="74">
        <v>14205</v>
      </c>
      <c r="H30" s="25">
        <v>203024</v>
      </c>
      <c r="I30" s="74">
        <v>2241</v>
      </c>
      <c r="J30" s="76">
        <v>205265</v>
      </c>
    </row>
    <row r="31" spans="1:10" x14ac:dyDescent="0.25">
      <c r="A31" s="14" t="s">
        <v>23</v>
      </c>
      <c r="B31" s="74">
        <v>40917</v>
      </c>
      <c r="C31" s="74">
        <v>20466</v>
      </c>
      <c r="D31" s="74">
        <v>5078</v>
      </c>
      <c r="E31" s="74">
        <v>14463</v>
      </c>
      <c r="F31" s="74">
        <v>12560</v>
      </c>
      <c r="G31" s="74">
        <v>4032</v>
      </c>
      <c r="H31" s="25">
        <v>97516</v>
      </c>
      <c r="I31" s="73">
        <v>496</v>
      </c>
      <c r="J31" s="76">
        <v>98012</v>
      </c>
    </row>
    <row r="32" spans="1:10" x14ac:dyDescent="0.25">
      <c r="A32" s="14" t="s">
        <v>24</v>
      </c>
      <c r="B32" s="74">
        <v>19592</v>
      </c>
      <c r="C32" s="74">
        <v>6689</v>
      </c>
      <c r="D32" s="74">
        <v>1428</v>
      </c>
      <c r="E32" s="74">
        <v>3624</v>
      </c>
      <c r="F32" s="73">
        <v>532</v>
      </c>
      <c r="G32" s="74">
        <v>1354</v>
      </c>
      <c r="H32" s="25">
        <v>33219</v>
      </c>
      <c r="I32" s="73">
        <v>1</v>
      </c>
      <c r="J32" s="76">
        <v>33220</v>
      </c>
    </row>
    <row r="33" spans="1:10" x14ac:dyDescent="0.25">
      <c r="A33" s="14" t="s">
        <v>25</v>
      </c>
      <c r="B33" s="74">
        <v>16524</v>
      </c>
      <c r="C33" s="74">
        <v>7081</v>
      </c>
      <c r="D33" s="73">
        <v>986</v>
      </c>
      <c r="E33" s="74">
        <v>1653</v>
      </c>
      <c r="F33" s="74">
        <v>1195</v>
      </c>
      <c r="G33" s="74">
        <v>1436</v>
      </c>
      <c r="H33" s="25">
        <v>28875</v>
      </c>
      <c r="I33" s="73">
        <v>0</v>
      </c>
      <c r="J33" s="76">
        <v>28875</v>
      </c>
    </row>
    <row r="34" spans="1:10" x14ac:dyDescent="0.25">
      <c r="A34" s="14" t="s">
        <v>53</v>
      </c>
      <c r="B34" s="73">
        <v>0</v>
      </c>
      <c r="C34" s="73">
        <v>0</v>
      </c>
      <c r="D34" s="73">
        <v>0</v>
      </c>
      <c r="E34" s="73">
        <v>0</v>
      </c>
      <c r="F34" s="73">
        <v>37</v>
      </c>
      <c r="G34" s="73">
        <v>47</v>
      </c>
      <c r="H34" s="26">
        <v>84</v>
      </c>
      <c r="I34" s="73">
        <v>0</v>
      </c>
      <c r="J34" s="75">
        <v>84</v>
      </c>
    </row>
    <row r="35" spans="1:10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67" t="s">
        <v>29</v>
      </c>
    </row>
    <row r="36" spans="1:10" ht="24.95" customHeight="1" thickBot="1" x14ac:dyDescent="0.3">
      <c r="A36" s="16" t="s">
        <v>26</v>
      </c>
      <c r="B36" s="22">
        <f>SUM(B25:B34)</f>
        <v>312322</v>
      </c>
      <c r="C36" s="22">
        <f t="shared" ref="C36:J36" si="1">SUM(C25:C34)</f>
        <v>165490</v>
      </c>
      <c r="D36" s="22">
        <f t="shared" si="1"/>
        <v>49476</v>
      </c>
      <c r="E36" s="22">
        <f t="shared" si="1"/>
        <v>35858</v>
      </c>
      <c r="F36" s="22">
        <f t="shared" si="1"/>
        <v>89657</v>
      </c>
      <c r="G36" s="22">
        <f t="shared" si="1"/>
        <v>56339</v>
      </c>
      <c r="H36" s="22">
        <f t="shared" si="1"/>
        <v>709142</v>
      </c>
      <c r="I36" s="22">
        <f t="shared" si="1"/>
        <v>6677</v>
      </c>
      <c r="J36" s="22">
        <f t="shared" si="1"/>
        <v>715819</v>
      </c>
    </row>
    <row r="37" spans="1:10" ht="30" customHeight="1" thickTop="1" thickBot="1" x14ac:dyDescent="0.3">
      <c r="A37" s="7" t="s">
        <v>27</v>
      </c>
      <c r="B37" s="23">
        <f>SUM(B24,B36)</f>
        <v>356289</v>
      </c>
      <c r="C37" s="23">
        <f t="shared" ref="C37:J37" si="2">SUM(C24,C36)</f>
        <v>200777</v>
      </c>
      <c r="D37" s="23">
        <f t="shared" si="2"/>
        <v>63574</v>
      </c>
      <c r="E37" s="23">
        <f t="shared" si="2"/>
        <v>39886</v>
      </c>
      <c r="F37" s="23">
        <f t="shared" si="2"/>
        <v>104311</v>
      </c>
      <c r="G37" s="23">
        <f t="shared" si="2"/>
        <v>70450</v>
      </c>
      <c r="H37" s="23">
        <f t="shared" si="2"/>
        <v>835287</v>
      </c>
      <c r="I37" s="23">
        <f t="shared" si="2"/>
        <v>7972</v>
      </c>
      <c r="J37" s="23">
        <f t="shared" si="2"/>
        <v>843259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46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77">
        <v>1</v>
      </c>
      <c r="C7" s="77">
        <v>0</v>
      </c>
      <c r="D7" s="77">
        <v>0</v>
      </c>
      <c r="E7" s="77">
        <v>0</v>
      </c>
      <c r="F7" s="77">
        <v>0</v>
      </c>
      <c r="G7" s="77">
        <v>0</v>
      </c>
      <c r="H7" s="26">
        <v>1</v>
      </c>
      <c r="I7" s="77">
        <v>0</v>
      </c>
      <c r="J7" s="79">
        <v>1</v>
      </c>
    </row>
    <row r="8" spans="1:10" x14ac:dyDescent="0.25">
      <c r="A8" s="14" t="s">
        <v>2</v>
      </c>
      <c r="B8" s="77">
        <v>1</v>
      </c>
      <c r="C8" s="77">
        <v>0</v>
      </c>
      <c r="D8" s="77">
        <v>0</v>
      </c>
      <c r="E8" s="77">
        <v>0</v>
      </c>
      <c r="F8" s="77">
        <v>4</v>
      </c>
      <c r="G8" s="77">
        <v>0</v>
      </c>
      <c r="H8" s="26">
        <v>5</v>
      </c>
      <c r="I8" s="77">
        <v>0</v>
      </c>
      <c r="J8" s="79">
        <v>5</v>
      </c>
    </row>
    <row r="9" spans="1:10" x14ac:dyDescent="0.25">
      <c r="A9" s="14" t="s">
        <v>3</v>
      </c>
      <c r="B9" s="77">
        <v>63</v>
      </c>
      <c r="C9" s="77">
        <v>40</v>
      </c>
      <c r="D9" s="77">
        <v>16</v>
      </c>
      <c r="E9" s="77">
        <v>6</v>
      </c>
      <c r="F9" s="77">
        <v>32</v>
      </c>
      <c r="G9" s="77">
        <v>29</v>
      </c>
      <c r="H9" s="26">
        <v>186</v>
      </c>
      <c r="I9" s="77">
        <v>2</v>
      </c>
      <c r="J9" s="79">
        <v>188</v>
      </c>
    </row>
    <row r="10" spans="1:10" x14ac:dyDescent="0.25">
      <c r="A10" s="14" t="s">
        <v>4</v>
      </c>
      <c r="B10" s="77">
        <v>152</v>
      </c>
      <c r="C10" s="77">
        <v>67</v>
      </c>
      <c r="D10" s="77">
        <v>33</v>
      </c>
      <c r="E10" s="77">
        <v>6</v>
      </c>
      <c r="F10" s="77">
        <v>111</v>
      </c>
      <c r="G10" s="77">
        <v>59</v>
      </c>
      <c r="H10" s="26">
        <v>428</v>
      </c>
      <c r="I10" s="77">
        <v>1</v>
      </c>
      <c r="J10" s="79">
        <v>429</v>
      </c>
    </row>
    <row r="11" spans="1:10" x14ac:dyDescent="0.25">
      <c r="A11" s="14" t="s">
        <v>5</v>
      </c>
      <c r="B11" s="78">
        <v>1499</v>
      </c>
      <c r="C11" s="78">
        <v>1802</v>
      </c>
      <c r="D11" s="78">
        <v>1247</v>
      </c>
      <c r="E11" s="77">
        <v>320</v>
      </c>
      <c r="F11" s="77">
        <v>969</v>
      </c>
      <c r="G11" s="78">
        <v>1127</v>
      </c>
      <c r="H11" s="25">
        <v>6964</v>
      </c>
      <c r="I11" s="77">
        <v>40</v>
      </c>
      <c r="J11" s="80">
        <v>7004</v>
      </c>
    </row>
    <row r="12" spans="1:10" x14ac:dyDescent="0.25">
      <c r="A12" s="14" t="s">
        <v>6</v>
      </c>
      <c r="B12" s="78">
        <v>3794</v>
      </c>
      <c r="C12" s="78">
        <v>5818</v>
      </c>
      <c r="D12" s="78">
        <v>3118</v>
      </c>
      <c r="E12" s="77">
        <v>971</v>
      </c>
      <c r="F12" s="78">
        <v>4068</v>
      </c>
      <c r="G12" s="78">
        <v>4278</v>
      </c>
      <c r="H12" s="25">
        <v>22047</v>
      </c>
      <c r="I12" s="77">
        <v>184</v>
      </c>
      <c r="J12" s="80">
        <v>22231</v>
      </c>
    </row>
    <row r="13" spans="1:10" x14ac:dyDescent="0.25">
      <c r="A13" s="14" t="s">
        <v>7</v>
      </c>
      <c r="B13" s="78">
        <v>6510</v>
      </c>
      <c r="C13" s="78">
        <v>6546</v>
      </c>
      <c r="D13" s="78">
        <v>4230</v>
      </c>
      <c r="E13" s="78">
        <v>1074</v>
      </c>
      <c r="F13" s="78">
        <v>4001</v>
      </c>
      <c r="G13" s="78">
        <v>4810</v>
      </c>
      <c r="H13" s="25">
        <v>27171</v>
      </c>
      <c r="I13" s="77">
        <v>269</v>
      </c>
      <c r="J13" s="80">
        <v>27440</v>
      </c>
    </row>
    <row r="14" spans="1:10" x14ac:dyDescent="0.25">
      <c r="A14" s="14" t="s">
        <v>8</v>
      </c>
      <c r="B14" s="78">
        <v>10081</v>
      </c>
      <c r="C14" s="78">
        <v>10399</v>
      </c>
      <c r="D14" s="78">
        <v>3611</v>
      </c>
      <c r="E14" s="77">
        <v>941</v>
      </c>
      <c r="F14" s="78">
        <v>3332</v>
      </c>
      <c r="G14" s="78">
        <v>2975</v>
      </c>
      <c r="H14" s="25">
        <v>31339</v>
      </c>
      <c r="I14" s="77">
        <v>482</v>
      </c>
      <c r="J14" s="80">
        <v>31821</v>
      </c>
    </row>
    <row r="15" spans="1:10" x14ac:dyDescent="0.25">
      <c r="A15" s="14" t="s">
        <v>9</v>
      </c>
      <c r="B15" s="78">
        <v>8358</v>
      </c>
      <c r="C15" s="78">
        <v>4746</v>
      </c>
      <c r="D15" s="78">
        <v>1083</v>
      </c>
      <c r="E15" s="77">
        <v>222</v>
      </c>
      <c r="F15" s="78">
        <v>1102</v>
      </c>
      <c r="G15" s="77">
        <v>500</v>
      </c>
      <c r="H15" s="25">
        <v>16011</v>
      </c>
      <c r="I15" s="77">
        <v>117</v>
      </c>
      <c r="J15" s="80">
        <v>16128</v>
      </c>
    </row>
    <row r="16" spans="1:10" x14ac:dyDescent="0.25">
      <c r="A16" s="14" t="s">
        <v>10</v>
      </c>
      <c r="B16" s="78">
        <v>5095</v>
      </c>
      <c r="C16" s="78">
        <v>2469</v>
      </c>
      <c r="D16" s="77">
        <v>681</v>
      </c>
      <c r="E16" s="77">
        <v>261</v>
      </c>
      <c r="F16" s="78">
        <v>1045</v>
      </c>
      <c r="G16" s="77">
        <v>339</v>
      </c>
      <c r="H16" s="25">
        <v>9890</v>
      </c>
      <c r="I16" s="77">
        <v>44</v>
      </c>
      <c r="J16" s="80">
        <v>9934</v>
      </c>
    </row>
    <row r="17" spans="1:10" x14ac:dyDescent="0.25">
      <c r="A17" s="14" t="s">
        <v>11</v>
      </c>
      <c r="B17" s="77">
        <v>379</v>
      </c>
      <c r="C17" s="77">
        <v>90</v>
      </c>
      <c r="D17" s="77">
        <v>1</v>
      </c>
      <c r="E17" s="77">
        <v>15</v>
      </c>
      <c r="F17" s="77">
        <v>0</v>
      </c>
      <c r="G17" s="77">
        <v>0</v>
      </c>
      <c r="H17" s="26">
        <v>485</v>
      </c>
      <c r="I17" s="77">
        <v>0</v>
      </c>
      <c r="J17" s="79">
        <v>485</v>
      </c>
    </row>
    <row r="18" spans="1:10" x14ac:dyDescent="0.25">
      <c r="A18" s="14" t="s">
        <v>12</v>
      </c>
      <c r="B18" s="78">
        <v>1413</v>
      </c>
      <c r="C18" s="77">
        <v>626</v>
      </c>
      <c r="D18" s="77">
        <v>12</v>
      </c>
      <c r="E18" s="77">
        <v>43</v>
      </c>
      <c r="F18" s="77">
        <v>0</v>
      </c>
      <c r="G18" s="77">
        <v>0</v>
      </c>
      <c r="H18" s="25">
        <v>2094</v>
      </c>
      <c r="I18" s="77">
        <v>27</v>
      </c>
      <c r="J18" s="80">
        <v>2121</v>
      </c>
    </row>
    <row r="19" spans="1:10" x14ac:dyDescent="0.25">
      <c r="A19" s="14" t="s">
        <v>13</v>
      </c>
      <c r="B19" s="78">
        <v>1804</v>
      </c>
      <c r="C19" s="77">
        <v>560</v>
      </c>
      <c r="D19" s="77">
        <v>26</v>
      </c>
      <c r="E19" s="77">
        <v>84</v>
      </c>
      <c r="F19" s="77">
        <v>0</v>
      </c>
      <c r="G19" s="77">
        <v>0</v>
      </c>
      <c r="H19" s="25">
        <v>2474</v>
      </c>
      <c r="I19" s="77">
        <v>42</v>
      </c>
      <c r="J19" s="80">
        <v>2516</v>
      </c>
    </row>
    <row r="20" spans="1:10" x14ac:dyDescent="0.25">
      <c r="A20" s="14" t="s">
        <v>14</v>
      </c>
      <c r="B20" s="78">
        <v>3520</v>
      </c>
      <c r="C20" s="78">
        <v>1498</v>
      </c>
      <c r="D20" s="77">
        <v>51</v>
      </c>
      <c r="E20" s="77">
        <v>124</v>
      </c>
      <c r="F20" s="77">
        <v>0</v>
      </c>
      <c r="G20" s="77">
        <v>0</v>
      </c>
      <c r="H20" s="25">
        <v>5193</v>
      </c>
      <c r="I20" s="77">
        <v>75</v>
      </c>
      <c r="J20" s="80">
        <v>5268</v>
      </c>
    </row>
    <row r="21" spans="1:10" x14ac:dyDescent="0.25">
      <c r="A21" s="14" t="s">
        <v>15</v>
      </c>
      <c r="B21" s="78">
        <v>1233</v>
      </c>
      <c r="C21" s="77">
        <v>471</v>
      </c>
      <c r="D21" s="77">
        <v>0</v>
      </c>
      <c r="E21" s="77">
        <v>38</v>
      </c>
      <c r="F21" s="77">
        <v>0</v>
      </c>
      <c r="G21" s="77">
        <v>0</v>
      </c>
      <c r="H21" s="25">
        <v>1742</v>
      </c>
      <c r="I21" s="77">
        <v>0</v>
      </c>
      <c r="J21" s="80">
        <v>1742</v>
      </c>
    </row>
    <row r="22" spans="1:10" x14ac:dyDescent="0.25">
      <c r="A22" s="14" t="s">
        <v>52</v>
      </c>
      <c r="B22" s="77">
        <v>0</v>
      </c>
      <c r="C22" s="77">
        <v>0</v>
      </c>
      <c r="D22" s="77">
        <v>0</v>
      </c>
      <c r="E22" s="77">
        <v>0</v>
      </c>
      <c r="F22" s="77">
        <v>4</v>
      </c>
      <c r="G22" s="77">
        <v>0</v>
      </c>
      <c r="H22" s="26">
        <v>4</v>
      </c>
      <c r="I22" s="77">
        <v>0</v>
      </c>
      <c r="J22" s="79">
        <v>4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76"/>
    </row>
    <row r="24" spans="1:10" ht="24.95" customHeight="1" thickBot="1" x14ac:dyDescent="0.3">
      <c r="A24" s="16" t="s">
        <v>16</v>
      </c>
      <c r="B24" s="22">
        <f>SUM(B7:B22)</f>
        <v>43903</v>
      </c>
      <c r="C24" s="22">
        <f t="shared" ref="C24:J24" si="0">SUM(C7:C22)</f>
        <v>35132</v>
      </c>
      <c r="D24" s="22">
        <f t="shared" si="0"/>
        <v>14109</v>
      </c>
      <c r="E24" s="22">
        <f t="shared" si="0"/>
        <v>4105</v>
      </c>
      <c r="F24" s="22">
        <f t="shared" si="0"/>
        <v>14668</v>
      </c>
      <c r="G24" s="22">
        <f t="shared" si="0"/>
        <v>14117</v>
      </c>
      <c r="H24" s="22">
        <f t="shared" si="0"/>
        <v>126034</v>
      </c>
      <c r="I24" s="22">
        <f t="shared" si="0"/>
        <v>1283</v>
      </c>
      <c r="J24" s="22">
        <f t="shared" si="0"/>
        <v>127317</v>
      </c>
    </row>
    <row r="25" spans="1:10" x14ac:dyDescent="0.25">
      <c r="A25" s="14" t="s">
        <v>17</v>
      </c>
      <c r="B25" s="82">
        <v>2116</v>
      </c>
      <c r="C25" s="82">
        <v>1446</v>
      </c>
      <c r="D25" s="81">
        <v>355</v>
      </c>
      <c r="E25" s="81">
        <v>178</v>
      </c>
      <c r="F25" s="82">
        <v>1924</v>
      </c>
      <c r="G25" s="82">
        <v>1017</v>
      </c>
      <c r="H25" s="25">
        <v>7036</v>
      </c>
      <c r="I25" s="81">
        <v>84</v>
      </c>
      <c r="J25" s="84">
        <v>7120</v>
      </c>
    </row>
    <row r="26" spans="1:10" x14ac:dyDescent="0.25">
      <c r="A26" s="14" t="s">
        <v>18</v>
      </c>
      <c r="B26" s="82">
        <v>7709</v>
      </c>
      <c r="C26" s="82">
        <v>5948</v>
      </c>
      <c r="D26" s="81">
        <v>968</v>
      </c>
      <c r="E26" s="81">
        <v>465</v>
      </c>
      <c r="F26" s="82">
        <v>4601</v>
      </c>
      <c r="G26" s="82">
        <v>3128</v>
      </c>
      <c r="H26" s="25">
        <v>22819</v>
      </c>
      <c r="I26" s="81">
        <v>152</v>
      </c>
      <c r="J26" s="84">
        <v>22971</v>
      </c>
    </row>
    <row r="27" spans="1:10" x14ac:dyDescent="0.25">
      <c r="A27" s="14" t="s">
        <v>19</v>
      </c>
      <c r="B27" s="82">
        <v>22472</v>
      </c>
      <c r="C27" s="82">
        <v>15770</v>
      </c>
      <c r="D27" s="82">
        <v>3840</v>
      </c>
      <c r="E27" s="82">
        <v>1121</v>
      </c>
      <c r="F27" s="82">
        <v>15630</v>
      </c>
      <c r="G27" s="82">
        <v>8788</v>
      </c>
      <c r="H27" s="25">
        <v>67621</v>
      </c>
      <c r="I27" s="81">
        <v>695</v>
      </c>
      <c r="J27" s="84">
        <v>68316</v>
      </c>
    </row>
    <row r="28" spans="1:10" x14ac:dyDescent="0.25">
      <c r="A28" s="14" t="s">
        <v>20</v>
      </c>
      <c r="B28" s="82">
        <v>40048</v>
      </c>
      <c r="C28" s="82">
        <v>20101</v>
      </c>
      <c r="D28" s="82">
        <v>11676</v>
      </c>
      <c r="E28" s="82">
        <v>1906</v>
      </c>
      <c r="F28" s="82">
        <v>19210</v>
      </c>
      <c r="G28" s="82">
        <v>12578</v>
      </c>
      <c r="H28" s="25">
        <v>105519</v>
      </c>
      <c r="I28" s="82">
        <v>1241</v>
      </c>
      <c r="J28" s="84">
        <v>106760</v>
      </c>
    </row>
    <row r="29" spans="1:10" x14ac:dyDescent="0.25">
      <c r="A29" s="14" t="s">
        <v>21</v>
      </c>
      <c r="B29" s="82">
        <v>65166</v>
      </c>
      <c r="C29" s="82">
        <v>27172</v>
      </c>
      <c r="D29" s="82">
        <v>15843</v>
      </c>
      <c r="E29" s="82">
        <v>5724</v>
      </c>
      <c r="F29" s="82">
        <v>19368</v>
      </c>
      <c r="G29" s="82">
        <v>9604</v>
      </c>
      <c r="H29" s="25">
        <v>142877</v>
      </c>
      <c r="I29" s="82">
        <v>1765</v>
      </c>
      <c r="J29" s="84">
        <v>144642</v>
      </c>
    </row>
    <row r="30" spans="1:10" x14ac:dyDescent="0.25">
      <c r="A30" s="14" t="s">
        <v>22</v>
      </c>
      <c r="B30" s="82">
        <v>97399</v>
      </c>
      <c r="C30" s="82">
        <v>60585</v>
      </c>
      <c r="D30" s="82">
        <v>9120</v>
      </c>
      <c r="E30" s="82">
        <v>7042</v>
      </c>
      <c r="F30" s="82">
        <v>14667</v>
      </c>
      <c r="G30" s="82">
        <v>14303</v>
      </c>
      <c r="H30" s="25">
        <v>203116</v>
      </c>
      <c r="I30" s="82">
        <v>2261</v>
      </c>
      <c r="J30" s="84">
        <v>205377</v>
      </c>
    </row>
    <row r="31" spans="1:10" x14ac:dyDescent="0.25">
      <c r="A31" s="14" t="s">
        <v>23</v>
      </c>
      <c r="B31" s="82">
        <v>41001</v>
      </c>
      <c r="C31" s="82">
        <v>20304</v>
      </c>
      <c r="D31" s="82">
        <v>5118</v>
      </c>
      <c r="E31" s="82">
        <v>14042</v>
      </c>
      <c r="F31" s="82">
        <v>12525</v>
      </c>
      <c r="G31" s="82">
        <v>4046</v>
      </c>
      <c r="H31" s="25">
        <v>97036</v>
      </c>
      <c r="I31" s="81">
        <v>460</v>
      </c>
      <c r="J31" s="84">
        <v>97496</v>
      </c>
    </row>
    <row r="32" spans="1:10" x14ac:dyDescent="0.25">
      <c r="A32" s="14" t="s">
        <v>24</v>
      </c>
      <c r="B32" s="82">
        <v>19668</v>
      </c>
      <c r="C32" s="82">
        <v>6542</v>
      </c>
      <c r="D32" s="82">
        <v>1383</v>
      </c>
      <c r="E32" s="82">
        <v>3620</v>
      </c>
      <c r="F32" s="81">
        <v>570</v>
      </c>
      <c r="G32" s="82">
        <v>1324</v>
      </c>
      <c r="H32" s="25">
        <v>33107</v>
      </c>
      <c r="I32" s="81">
        <v>2</v>
      </c>
      <c r="J32" s="84">
        <v>33109</v>
      </c>
    </row>
    <row r="33" spans="1:10" x14ac:dyDescent="0.25">
      <c r="A33" s="14" t="s">
        <v>25</v>
      </c>
      <c r="B33" s="82">
        <v>16902</v>
      </c>
      <c r="C33" s="82">
        <v>7324</v>
      </c>
      <c r="D33" s="81">
        <v>956</v>
      </c>
      <c r="E33" s="82">
        <v>1532</v>
      </c>
      <c r="F33" s="82">
        <v>1264</v>
      </c>
      <c r="G33" s="82">
        <v>1486</v>
      </c>
      <c r="H33" s="25">
        <v>29464</v>
      </c>
      <c r="I33" s="81">
        <v>0</v>
      </c>
      <c r="J33" s="84">
        <v>29464</v>
      </c>
    </row>
    <row r="34" spans="1:10" x14ac:dyDescent="0.25">
      <c r="A34" s="14" t="s">
        <v>53</v>
      </c>
      <c r="B34" s="81">
        <v>0</v>
      </c>
      <c r="C34" s="81">
        <v>0</v>
      </c>
      <c r="D34" s="81">
        <v>0</v>
      </c>
      <c r="E34" s="81">
        <v>0</v>
      </c>
      <c r="F34" s="81">
        <v>1</v>
      </c>
      <c r="G34" s="81">
        <v>1</v>
      </c>
      <c r="H34" s="26">
        <v>2</v>
      </c>
      <c r="I34" s="81">
        <v>0</v>
      </c>
      <c r="J34" s="83">
        <v>2</v>
      </c>
    </row>
    <row r="35" spans="1:10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75" t="s">
        <v>29</v>
      </c>
    </row>
    <row r="36" spans="1:10" ht="24.95" customHeight="1" thickBot="1" x14ac:dyDescent="0.3">
      <c r="A36" s="16" t="s">
        <v>26</v>
      </c>
      <c r="B36" s="22">
        <f>SUM(B25:B34)</f>
        <v>312481</v>
      </c>
      <c r="C36" s="22">
        <f t="shared" ref="C36:J36" si="1">SUM(C25:C34)</f>
        <v>165192</v>
      </c>
      <c r="D36" s="22">
        <f t="shared" si="1"/>
        <v>49259</v>
      </c>
      <c r="E36" s="22">
        <f t="shared" si="1"/>
        <v>35630</v>
      </c>
      <c r="F36" s="22">
        <f t="shared" si="1"/>
        <v>89760</v>
      </c>
      <c r="G36" s="22">
        <f t="shared" si="1"/>
        <v>56275</v>
      </c>
      <c r="H36" s="22">
        <f t="shared" si="1"/>
        <v>708597</v>
      </c>
      <c r="I36" s="22">
        <f t="shared" si="1"/>
        <v>6660</v>
      </c>
      <c r="J36" s="22">
        <f t="shared" si="1"/>
        <v>715257</v>
      </c>
    </row>
    <row r="37" spans="1:10" ht="30" customHeight="1" thickTop="1" thickBot="1" x14ac:dyDescent="0.3">
      <c r="A37" s="7" t="s">
        <v>27</v>
      </c>
      <c r="B37" s="23">
        <f>SUM(B24,B36)</f>
        <v>356384</v>
      </c>
      <c r="C37" s="23">
        <f t="shared" ref="C37:J37" si="2">SUM(C24,C36)</f>
        <v>200324</v>
      </c>
      <c r="D37" s="23">
        <f t="shared" si="2"/>
        <v>63368</v>
      </c>
      <c r="E37" s="23">
        <f t="shared" si="2"/>
        <v>39735</v>
      </c>
      <c r="F37" s="23">
        <f t="shared" si="2"/>
        <v>104428</v>
      </c>
      <c r="G37" s="23">
        <f t="shared" si="2"/>
        <v>70392</v>
      </c>
      <c r="H37" s="23">
        <f t="shared" si="2"/>
        <v>834631</v>
      </c>
      <c r="I37" s="23">
        <f t="shared" si="2"/>
        <v>7943</v>
      </c>
      <c r="J37" s="23">
        <f t="shared" si="2"/>
        <v>842574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47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85">
        <v>1</v>
      </c>
      <c r="C7" s="85">
        <v>0</v>
      </c>
      <c r="D7" s="85">
        <v>0</v>
      </c>
      <c r="E7" s="85">
        <v>0</v>
      </c>
      <c r="F7" s="85">
        <v>0</v>
      </c>
      <c r="G7" s="85">
        <v>0</v>
      </c>
      <c r="H7" s="26">
        <v>1</v>
      </c>
      <c r="I7" s="85">
        <v>0</v>
      </c>
      <c r="J7" s="87">
        <v>1</v>
      </c>
    </row>
    <row r="8" spans="1:10" x14ac:dyDescent="0.25">
      <c r="A8" s="14" t="s">
        <v>2</v>
      </c>
      <c r="B8" s="85">
        <v>1</v>
      </c>
      <c r="C8" s="85">
        <v>0</v>
      </c>
      <c r="D8" s="85">
        <v>0</v>
      </c>
      <c r="E8" s="85">
        <v>0</v>
      </c>
      <c r="F8" s="85">
        <v>4</v>
      </c>
      <c r="G8" s="85">
        <v>0</v>
      </c>
      <c r="H8" s="26">
        <v>5</v>
      </c>
      <c r="I8" s="85">
        <v>0</v>
      </c>
      <c r="J8" s="87">
        <v>5</v>
      </c>
    </row>
    <row r="9" spans="1:10" x14ac:dyDescent="0.25">
      <c r="A9" s="14" t="s">
        <v>3</v>
      </c>
      <c r="B9" s="85">
        <v>66</v>
      </c>
      <c r="C9" s="85">
        <v>39</v>
      </c>
      <c r="D9" s="85">
        <v>16</v>
      </c>
      <c r="E9" s="85">
        <v>6</v>
      </c>
      <c r="F9" s="85">
        <v>31</v>
      </c>
      <c r="G9" s="85">
        <v>29</v>
      </c>
      <c r="H9" s="26">
        <v>187</v>
      </c>
      <c r="I9" s="85">
        <v>2</v>
      </c>
      <c r="J9" s="87">
        <v>189</v>
      </c>
    </row>
    <row r="10" spans="1:10" x14ac:dyDescent="0.25">
      <c r="A10" s="14" t="s">
        <v>4</v>
      </c>
      <c r="B10" s="85">
        <v>152</v>
      </c>
      <c r="C10" s="85">
        <v>65</v>
      </c>
      <c r="D10" s="85">
        <v>33</v>
      </c>
      <c r="E10" s="85">
        <v>6</v>
      </c>
      <c r="F10" s="85">
        <v>114</v>
      </c>
      <c r="G10" s="85">
        <v>59</v>
      </c>
      <c r="H10" s="26">
        <v>429</v>
      </c>
      <c r="I10" s="85">
        <v>1</v>
      </c>
      <c r="J10" s="87">
        <v>430</v>
      </c>
    </row>
    <row r="11" spans="1:10" x14ac:dyDescent="0.25">
      <c r="A11" s="14" t="s">
        <v>5</v>
      </c>
      <c r="B11" s="86">
        <v>1496</v>
      </c>
      <c r="C11" s="86">
        <v>1810</v>
      </c>
      <c r="D11" s="86">
        <v>1257</v>
      </c>
      <c r="E11" s="85">
        <v>337</v>
      </c>
      <c r="F11" s="85">
        <v>966</v>
      </c>
      <c r="G11" s="86">
        <v>1150</v>
      </c>
      <c r="H11" s="25">
        <v>7016</v>
      </c>
      <c r="I11" s="85">
        <v>40</v>
      </c>
      <c r="J11" s="88">
        <v>7056</v>
      </c>
    </row>
    <row r="12" spans="1:10" x14ac:dyDescent="0.25">
      <c r="A12" s="14" t="s">
        <v>6</v>
      </c>
      <c r="B12" s="86">
        <v>3789</v>
      </c>
      <c r="C12" s="86">
        <v>5804</v>
      </c>
      <c r="D12" s="86">
        <v>3116</v>
      </c>
      <c r="E12" s="85">
        <v>955</v>
      </c>
      <c r="F12" s="86">
        <v>4067</v>
      </c>
      <c r="G12" s="86">
        <v>4253</v>
      </c>
      <c r="H12" s="25">
        <v>21984</v>
      </c>
      <c r="I12" s="85">
        <v>185</v>
      </c>
      <c r="J12" s="88">
        <v>22169</v>
      </c>
    </row>
    <row r="13" spans="1:10" x14ac:dyDescent="0.25">
      <c r="A13" s="14" t="s">
        <v>7</v>
      </c>
      <c r="B13" s="86">
        <v>6529</v>
      </c>
      <c r="C13" s="86">
        <v>6429</v>
      </c>
      <c r="D13" s="86">
        <v>4259</v>
      </c>
      <c r="E13" s="86">
        <v>1085</v>
      </c>
      <c r="F13" s="86">
        <v>4004</v>
      </c>
      <c r="G13" s="86">
        <v>4816</v>
      </c>
      <c r="H13" s="25">
        <v>27122</v>
      </c>
      <c r="I13" s="85">
        <v>268</v>
      </c>
      <c r="J13" s="88">
        <v>27390</v>
      </c>
    </row>
    <row r="14" spans="1:10" x14ac:dyDescent="0.25">
      <c r="A14" s="14" t="s">
        <v>8</v>
      </c>
      <c r="B14" s="86">
        <v>10114</v>
      </c>
      <c r="C14" s="86">
        <v>10403</v>
      </c>
      <c r="D14" s="86">
        <v>3592</v>
      </c>
      <c r="E14" s="85">
        <v>950</v>
      </c>
      <c r="F14" s="86">
        <v>3311</v>
      </c>
      <c r="G14" s="86">
        <v>2904</v>
      </c>
      <c r="H14" s="25">
        <v>31274</v>
      </c>
      <c r="I14" s="85">
        <v>485</v>
      </c>
      <c r="J14" s="88">
        <v>31759</v>
      </c>
    </row>
    <row r="15" spans="1:10" x14ac:dyDescent="0.25">
      <c r="A15" s="14" t="s">
        <v>9</v>
      </c>
      <c r="B15" s="86">
        <v>8505</v>
      </c>
      <c r="C15" s="86">
        <v>4785</v>
      </c>
      <c r="D15" s="86">
        <v>1099</v>
      </c>
      <c r="E15" s="85">
        <v>228</v>
      </c>
      <c r="F15" s="86">
        <v>1201</v>
      </c>
      <c r="G15" s="85">
        <v>524</v>
      </c>
      <c r="H15" s="25">
        <v>16342</v>
      </c>
      <c r="I15" s="85">
        <v>115</v>
      </c>
      <c r="J15" s="88">
        <v>16457</v>
      </c>
    </row>
    <row r="16" spans="1:10" x14ac:dyDescent="0.25">
      <c r="A16" s="14" t="s">
        <v>10</v>
      </c>
      <c r="B16" s="86">
        <v>4985</v>
      </c>
      <c r="C16" s="86">
        <v>2848</v>
      </c>
      <c r="D16" s="85">
        <v>695</v>
      </c>
      <c r="E16" s="85">
        <v>259</v>
      </c>
      <c r="F16" s="86">
        <v>1020</v>
      </c>
      <c r="G16" s="85">
        <v>349</v>
      </c>
      <c r="H16" s="25">
        <v>10156</v>
      </c>
      <c r="I16" s="85">
        <v>44</v>
      </c>
      <c r="J16" s="88">
        <v>10200</v>
      </c>
    </row>
    <row r="17" spans="1:10" x14ac:dyDescent="0.25">
      <c r="A17" s="14" t="s">
        <v>11</v>
      </c>
      <c r="B17" s="85">
        <v>378</v>
      </c>
      <c r="C17" s="85">
        <v>88</v>
      </c>
      <c r="D17" s="85">
        <v>1</v>
      </c>
      <c r="E17" s="85">
        <v>13</v>
      </c>
      <c r="F17" s="85">
        <v>0</v>
      </c>
      <c r="G17" s="85">
        <v>0</v>
      </c>
      <c r="H17" s="26">
        <v>480</v>
      </c>
      <c r="I17" s="85">
        <v>0</v>
      </c>
      <c r="J17" s="87">
        <v>480</v>
      </c>
    </row>
    <row r="18" spans="1:10" x14ac:dyDescent="0.25">
      <c r="A18" s="14" t="s">
        <v>12</v>
      </c>
      <c r="B18" s="86">
        <v>1426</v>
      </c>
      <c r="C18" s="85">
        <v>628</v>
      </c>
      <c r="D18" s="85">
        <v>11</v>
      </c>
      <c r="E18" s="85">
        <v>44</v>
      </c>
      <c r="F18" s="85">
        <v>0</v>
      </c>
      <c r="G18" s="85">
        <v>0</v>
      </c>
      <c r="H18" s="25">
        <v>2109</v>
      </c>
      <c r="I18" s="85">
        <v>27</v>
      </c>
      <c r="J18" s="88">
        <v>2136</v>
      </c>
    </row>
    <row r="19" spans="1:10" x14ac:dyDescent="0.25">
      <c r="A19" s="14" t="s">
        <v>13</v>
      </c>
      <c r="B19" s="86">
        <v>1798</v>
      </c>
      <c r="C19" s="85">
        <v>577</v>
      </c>
      <c r="D19" s="85">
        <v>25</v>
      </c>
      <c r="E19" s="85">
        <v>83</v>
      </c>
      <c r="F19" s="85">
        <v>0</v>
      </c>
      <c r="G19" s="85">
        <v>0</v>
      </c>
      <c r="H19" s="25">
        <v>2483</v>
      </c>
      <c r="I19" s="85">
        <v>42</v>
      </c>
      <c r="J19" s="88">
        <v>2525</v>
      </c>
    </row>
    <row r="20" spans="1:10" x14ac:dyDescent="0.25">
      <c r="A20" s="14" t="s">
        <v>14</v>
      </c>
      <c r="B20" s="86">
        <v>3604</v>
      </c>
      <c r="C20" s="86">
        <v>1477</v>
      </c>
      <c r="D20" s="85">
        <v>51</v>
      </c>
      <c r="E20" s="85">
        <v>122</v>
      </c>
      <c r="F20" s="85">
        <v>0</v>
      </c>
      <c r="G20" s="85">
        <v>0</v>
      </c>
      <c r="H20" s="25">
        <v>5254</v>
      </c>
      <c r="I20" s="85">
        <v>74</v>
      </c>
      <c r="J20" s="88">
        <v>5328</v>
      </c>
    </row>
    <row r="21" spans="1:10" x14ac:dyDescent="0.25">
      <c r="A21" s="14" t="s">
        <v>15</v>
      </c>
      <c r="B21" s="86">
        <v>1149</v>
      </c>
      <c r="C21" s="85">
        <v>480</v>
      </c>
      <c r="D21" s="85">
        <v>0</v>
      </c>
      <c r="E21" s="85">
        <v>38</v>
      </c>
      <c r="F21" s="85">
        <v>0</v>
      </c>
      <c r="G21" s="85">
        <v>0</v>
      </c>
      <c r="H21" s="25">
        <v>1667</v>
      </c>
      <c r="I21" s="85">
        <v>0</v>
      </c>
      <c r="J21" s="88">
        <v>1667</v>
      </c>
    </row>
    <row r="22" spans="1:10" x14ac:dyDescent="0.25">
      <c r="A22" s="14" t="s">
        <v>52</v>
      </c>
      <c r="B22" s="85">
        <v>0</v>
      </c>
      <c r="C22" s="85">
        <v>0</v>
      </c>
      <c r="D22" s="85">
        <v>0</v>
      </c>
      <c r="E22" s="85">
        <v>0</v>
      </c>
      <c r="F22" s="85">
        <v>3</v>
      </c>
      <c r="G22" s="85">
        <v>0</v>
      </c>
      <c r="H22" s="26">
        <v>3</v>
      </c>
      <c r="I22" s="85">
        <v>0</v>
      </c>
      <c r="J22" s="87">
        <v>3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84"/>
    </row>
    <row r="24" spans="1:10" ht="24.95" customHeight="1" thickBot="1" x14ac:dyDescent="0.3">
      <c r="A24" s="16" t="s">
        <v>16</v>
      </c>
      <c r="B24" s="22">
        <f>SUM(B7:B22)</f>
        <v>43993</v>
      </c>
      <c r="C24" s="22">
        <f t="shared" ref="C24:J24" si="0">SUM(C7:C22)</f>
        <v>35433</v>
      </c>
      <c r="D24" s="22">
        <f t="shared" si="0"/>
        <v>14155</v>
      </c>
      <c r="E24" s="22">
        <f t="shared" si="0"/>
        <v>4126</v>
      </c>
      <c r="F24" s="22">
        <f t="shared" si="0"/>
        <v>14721</v>
      </c>
      <c r="G24" s="22">
        <f t="shared" si="0"/>
        <v>14084</v>
      </c>
      <c r="H24" s="22">
        <f t="shared" si="0"/>
        <v>126512</v>
      </c>
      <c r="I24" s="22">
        <f t="shared" si="0"/>
        <v>1283</v>
      </c>
      <c r="J24" s="22">
        <f t="shared" si="0"/>
        <v>127795</v>
      </c>
    </row>
    <row r="25" spans="1:10" x14ac:dyDescent="0.25">
      <c r="A25" s="14" t="s">
        <v>17</v>
      </c>
      <c r="B25" s="90">
        <v>2117</v>
      </c>
      <c r="C25" s="90">
        <v>1473</v>
      </c>
      <c r="D25" s="89">
        <v>363</v>
      </c>
      <c r="E25" s="89">
        <v>175</v>
      </c>
      <c r="F25" s="90">
        <v>1940</v>
      </c>
      <c r="G25" s="90">
        <v>1026</v>
      </c>
      <c r="H25" s="25">
        <v>7094</v>
      </c>
      <c r="I25" s="89">
        <v>84</v>
      </c>
      <c r="J25" s="92">
        <v>7178</v>
      </c>
    </row>
    <row r="26" spans="1:10" x14ac:dyDescent="0.25">
      <c r="A26" s="14" t="s">
        <v>18</v>
      </c>
      <c r="B26" s="90">
        <v>7742</v>
      </c>
      <c r="C26" s="90">
        <v>5824</v>
      </c>
      <c r="D26" s="89">
        <v>951</v>
      </c>
      <c r="E26" s="89">
        <v>476</v>
      </c>
      <c r="F26" s="90">
        <v>4612</v>
      </c>
      <c r="G26" s="90">
        <v>3098</v>
      </c>
      <c r="H26" s="25">
        <v>22703</v>
      </c>
      <c r="I26" s="89">
        <v>149</v>
      </c>
      <c r="J26" s="92">
        <v>22852</v>
      </c>
    </row>
    <row r="27" spans="1:10" x14ac:dyDescent="0.25">
      <c r="A27" s="14" t="s">
        <v>19</v>
      </c>
      <c r="B27" s="90">
        <v>22595</v>
      </c>
      <c r="C27" s="90">
        <v>15959</v>
      </c>
      <c r="D27" s="90">
        <v>3844</v>
      </c>
      <c r="E27" s="90">
        <v>1133</v>
      </c>
      <c r="F27" s="90">
        <v>15644</v>
      </c>
      <c r="G27" s="90">
        <v>8724</v>
      </c>
      <c r="H27" s="25">
        <v>67899</v>
      </c>
      <c r="I27" s="89">
        <v>694</v>
      </c>
      <c r="J27" s="92">
        <v>68593</v>
      </c>
    </row>
    <row r="28" spans="1:10" x14ac:dyDescent="0.25">
      <c r="A28" s="14" t="s">
        <v>20</v>
      </c>
      <c r="B28" s="90">
        <v>40380</v>
      </c>
      <c r="C28" s="90">
        <v>19918</v>
      </c>
      <c r="D28" s="90">
        <v>11617</v>
      </c>
      <c r="E28" s="90">
        <v>1913</v>
      </c>
      <c r="F28" s="90">
        <v>19126</v>
      </c>
      <c r="G28" s="90">
        <v>12551</v>
      </c>
      <c r="H28" s="25">
        <v>105505</v>
      </c>
      <c r="I28" s="90">
        <v>1250</v>
      </c>
      <c r="J28" s="92">
        <v>106755</v>
      </c>
    </row>
    <row r="29" spans="1:10" x14ac:dyDescent="0.25">
      <c r="A29" s="14" t="s">
        <v>21</v>
      </c>
      <c r="B29" s="90">
        <v>64781</v>
      </c>
      <c r="C29" s="90">
        <v>27099</v>
      </c>
      <c r="D29" s="90">
        <v>15672</v>
      </c>
      <c r="E29" s="90">
        <v>5442</v>
      </c>
      <c r="F29" s="90">
        <v>19218</v>
      </c>
      <c r="G29" s="90">
        <v>9500</v>
      </c>
      <c r="H29" s="25">
        <v>141712</v>
      </c>
      <c r="I29" s="90">
        <v>1760</v>
      </c>
      <c r="J29" s="92">
        <v>143472</v>
      </c>
    </row>
    <row r="30" spans="1:10" x14ac:dyDescent="0.25">
      <c r="A30" s="14" t="s">
        <v>22</v>
      </c>
      <c r="B30" s="90">
        <v>96671</v>
      </c>
      <c r="C30" s="90">
        <v>60457</v>
      </c>
      <c r="D30" s="90">
        <v>9143</v>
      </c>
      <c r="E30" s="90">
        <v>6735</v>
      </c>
      <c r="F30" s="90">
        <v>14747</v>
      </c>
      <c r="G30" s="90">
        <v>14419</v>
      </c>
      <c r="H30" s="25">
        <v>202172</v>
      </c>
      <c r="I30" s="90">
        <v>2286</v>
      </c>
      <c r="J30" s="92">
        <v>204458</v>
      </c>
    </row>
    <row r="31" spans="1:10" x14ac:dyDescent="0.25">
      <c r="A31" s="14" t="s">
        <v>23</v>
      </c>
      <c r="B31" s="90">
        <v>40861</v>
      </c>
      <c r="C31" s="90">
        <v>19671</v>
      </c>
      <c r="D31" s="90">
        <v>5154</v>
      </c>
      <c r="E31" s="90">
        <v>14211</v>
      </c>
      <c r="F31" s="90">
        <v>12506</v>
      </c>
      <c r="G31" s="90">
        <v>4023</v>
      </c>
      <c r="H31" s="25">
        <v>96426</v>
      </c>
      <c r="I31" s="89">
        <v>451</v>
      </c>
      <c r="J31" s="92">
        <v>96877</v>
      </c>
    </row>
    <row r="32" spans="1:10" x14ac:dyDescent="0.25">
      <c r="A32" s="14" t="s">
        <v>24</v>
      </c>
      <c r="B32" s="90">
        <v>19489</v>
      </c>
      <c r="C32" s="90">
        <v>6566</v>
      </c>
      <c r="D32" s="90">
        <v>1409</v>
      </c>
      <c r="E32" s="90">
        <v>3700</v>
      </c>
      <c r="F32" s="89">
        <v>566</v>
      </c>
      <c r="G32" s="90">
        <v>1275</v>
      </c>
      <c r="H32" s="25">
        <v>33005</v>
      </c>
      <c r="I32" s="89">
        <v>2</v>
      </c>
      <c r="J32" s="92">
        <v>33007</v>
      </c>
    </row>
    <row r="33" spans="1:10" x14ac:dyDescent="0.25">
      <c r="A33" s="14" t="s">
        <v>25</v>
      </c>
      <c r="B33" s="90">
        <v>16988</v>
      </c>
      <c r="C33" s="90">
        <v>7516</v>
      </c>
      <c r="D33" s="89">
        <v>878</v>
      </c>
      <c r="E33" s="90">
        <v>1462</v>
      </c>
      <c r="F33" s="90">
        <v>1271</v>
      </c>
      <c r="G33" s="90">
        <v>1414</v>
      </c>
      <c r="H33" s="25">
        <v>29529</v>
      </c>
      <c r="I33" s="89">
        <v>0</v>
      </c>
      <c r="J33" s="92">
        <v>29529</v>
      </c>
    </row>
    <row r="34" spans="1:10" x14ac:dyDescent="0.25">
      <c r="A34" s="14" t="s">
        <v>53</v>
      </c>
      <c r="B34" s="89">
        <v>2</v>
      </c>
      <c r="C34" s="89">
        <v>0</v>
      </c>
      <c r="D34" s="89">
        <v>0</v>
      </c>
      <c r="E34" s="89">
        <v>0</v>
      </c>
      <c r="F34" s="89">
        <v>35</v>
      </c>
      <c r="G34" s="89">
        <v>39</v>
      </c>
      <c r="H34" s="26">
        <v>76</v>
      </c>
      <c r="I34" s="89">
        <v>0</v>
      </c>
      <c r="J34" s="91">
        <v>76</v>
      </c>
    </row>
    <row r="35" spans="1:10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83" t="s">
        <v>29</v>
      </c>
    </row>
    <row r="36" spans="1:10" ht="24.95" customHeight="1" thickBot="1" x14ac:dyDescent="0.3">
      <c r="A36" s="16" t="s">
        <v>26</v>
      </c>
      <c r="B36" s="22">
        <f>SUM(B25:B34)</f>
        <v>311626</v>
      </c>
      <c r="C36" s="22">
        <f t="shared" ref="C36:J36" si="1">SUM(C25:C34)</f>
        <v>164483</v>
      </c>
      <c r="D36" s="22">
        <f t="shared" si="1"/>
        <v>49031</v>
      </c>
      <c r="E36" s="22">
        <f t="shared" si="1"/>
        <v>35247</v>
      </c>
      <c r="F36" s="22">
        <f t="shared" si="1"/>
        <v>89665</v>
      </c>
      <c r="G36" s="22">
        <f t="shared" si="1"/>
        <v>56069</v>
      </c>
      <c r="H36" s="22">
        <f t="shared" si="1"/>
        <v>706121</v>
      </c>
      <c r="I36" s="22">
        <f t="shared" si="1"/>
        <v>6676</v>
      </c>
      <c r="J36" s="22">
        <f t="shared" si="1"/>
        <v>712797</v>
      </c>
    </row>
    <row r="37" spans="1:10" ht="30" customHeight="1" thickTop="1" thickBot="1" x14ac:dyDescent="0.3">
      <c r="A37" s="7" t="s">
        <v>27</v>
      </c>
      <c r="B37" s="23">
        <f>SUM(B24,B36)</f>
        <v>355619</v>
      </c>
      <c r="C37" s="23">
        <f t="shared" ref="C37:J37" si="2">SUM(C24,C36)</f>
        <v>199916</v>
      </c>
      <c r="D37" s="23">
        <f t="shared" si="2"/>
        <v>63186</v>
      </c>
      <c r="E37" s="23">
        <f t="shared" si="2"/>
        <v>39373</v>
      </c>
      <c r="F37" s="23">
        <f t="shared" si="2"/>
        <v>104386</v>
      </c>
      <c r="G37" s="23">
        <f t="shared" si="2"/>
        <v>70153</v>
      </c>
      <c r="H37" s="23">
        <f t="shared" si="2"/>
        <v>832633</v>
      </c>
      <c r="I37" s="23">
        <f t="shared" si="2"/>
        <v>7959</v>
      </c>
      <c r="J37" s="23">
        <f t="shared" si="2"/>
        <v>840592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48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93">
        <v>1</v>
      </c>
      <c r="C7" s="93">
        <v>0</v>
      </c>
      <c r="D7" s="93">
        <v>0</v>
      </c>
      <c r="E7" s="93">
        <v>0</v>
      </c>
      <c r="F7" s="93">
        <v>0</v>
      </c>
      <c r="G7" s="93">
        <v>0</v>
      </c>
      <c r="H7" s="26">
        <v>1</v>
      </c>
      <c r="I7" s="93">
        <v>0</v>
      </c>
      <c r="J7" s="95">
        <v>1</v>
      </c>
    </row>
    <row r="8" spans="1:10" x14ac:dyDescent="0.25">
      <c r="A8" s="14" t="s">
        <v>2</v>
      </c>
      <c r="B8" s="93">
        <v>1</v>
      </c>
      <c r="C8" s="93">
        <v>0</v>
      </c>
      <c r="D8" s="93">
        <v>0</v>
      </c>
      <c r="E8" s="93">
        <v>0</v>
      </c>
      <c r="F8" s="93">
        <v>4</v>
      </c>
      <c r="G8" s="93">
        <v>0</v>
      </c>
      <c r="H8" s="26">
        <v>5</v>
      </c>
      <c r="I8" s="93">
        <v>0</v>
      </c>
      <c r="J8" s="95">
        <v>5</v>
      </c>
    </row>
    <row r="9" spans="1:10" x14ac:dyDescent="0.25">
      <c r="A9" s="14" t="s">
        <v>3</v>
      </c>
      <c r="B9" s="93">
        <v>69</v>
      </c>
      <c r="C9" s="93">
        <v>40</v>
      </c>
      <c r="D9" s="93">
        <v>16</v>
      </c>
      <c r="E9" s="93">
        <v>6</v>
      </c>
      <c r="F9" s="93">
        <v>31</v>
      </c>
      <c r="G9" s="93">
        <v>29</v>
      </c>
      <c r="H9" s="26">
        <v>191</v>
      </c>
      <c r="I9" s="93">
        <v>2</v>
      </c>
      <c r="J9" s="95">
        <v>193</v>
      </c>
    </row>
    <row r="10" spans="1:10" x14ac:dyDescent="0.25">
      <c r="A10" s="14" t="s">
        <v>4</v>
      </c>
      <c r="B10" s="93">
        <v>155</v>
      </c>
      <c r="C10" s="93">
        <v>63</v>
      </c>
      <c r="D10" s="93">
        <v>33</v>
      </c>
      <c r="E10" s="93">
        <v>6</v>
      </c>
      <c r="F10" s="93">
        <v>115</v>
      </c>
      <c r="G10" s="93">
        <v>59</v>
      </c>
      <c r="H10" s="26">
        <v>431</v>
      </c>
      <c r="I10" s="93">
        <v>1</v>
      </c>
      <c r="J10" s="95">
        <v>432</v>
      </c>
    </row>
    <row r="11" spans="1:10" x14ac:dyDescent="0.25">
      <c r="A11" s="14" t="s">
        <v>5</v>
      </c>
      <c r="B11" s="94">
        <v>1471</v>
      </c>
      <c r="C11" s="94">
        <v>1774</v>
      </c>
      <c r="D11" s="94">
        <v>1274</v>
      </c>
      <c r="E11" s="93">
        <v>335</v>
      </c>
      <c r="F11" s="94">
        <v>1026</v>
      </c>
      <c r="G11" s="94">
        <v>1154</v>
      </c>
      <c r="H11" s="25">
        <v>7034</v>
      </c>
      <c r="I11" s="93">
        <v>40</v>
      </c>
      <c r="J11" s="96">
        <v>7074</v>
      </c>
    </row>
    <row r="12" spans="1:10" x14ac:dyDescent="0.25">
      <c r="A12" s="14" t="s">
        <v>6</v>
      </c>
      <c r="B12" s="94">
        <v>3771</v>
      </c>
      <c r="C12" s="94">
        <v>5696</v>
      </c>
      <c r="D12" s="94">
        <v>3122</v>
      </c>
      <c r="E12" s="93">
        <v>953</v>
      </c>
      <c r="F12" s="94">
        <v>4022</v>
      </c>
      <c r="G12" s="94">
        <v>4171</v>
      </c>
      <c r="H12" s="25">
        <v>21735</v>
      </c>
      <c r="I12" s="93">
        <v>187</v>
      </c>
      <c r="J12" s="96">
        <v>21922</v>
      </c>
    </row>
    <row r="13" spans="1:10" x14ac:dyDescent="0.25">
      <c r="A13" s="14" t="s">
        <v>7</v>
      </c>
      <c r="B13" s="94">
        <v>6514</v>
      </c>
      <c r="C13" s="94">
        <v>6377</v>
      </c>
      <c r="D13" s="94">
        <v>4292</v>
      </c>
      <c r="E13" s="94">
        <v>1095</v>
      </c>
      <c r="F13" s="94">
        <v>4029</v>
      </c>
      <c r="G13" s="94">
        <v>4831</v>
      </c>
      <c r="H13" s="25">
        <v>27138</v>
      </c>
      <c r="I13" s="93">
        <v>263</v>
      </c>
      <c r="J13" s="96">
        <v>27401</v>
      </c>
    </row>
    <row r="14" spans="1:10" x14ac:dyDescent="0.25">
      <c r="A14" s="14" t="s">
        <v>8</v>
      </c>
      <c r="B14" s="94">
        <v>10153</v>
      </c>
      <c r="C14" s="94">
        <v>10393</v>
      </c>
      <c r="D14" s="94">
        <v>3600</v>
      </c>
      <c r="E14" s="93">
        <v>997</v>
      </c>
      <c r="F14" s="94">
        <v>3307</v>
      </c>
      <c r="G14" s="94">
        <v>2899</v>
      </c>
      <c r="H14" s="25">
        <v>31349</v>
      </c>
      <c r="I14" s="93">
        <v>485</v>
      </c>
      <c r="J14" s="96">
        <v>31834</v>
      </c>
    </row>
    <row r="15" spans="1:10" x14ac:dyDescent="0.25">
      <c r="A15" s="14" t="s">
        <v>9</v>
      </c>
      <c r="B15" s="94">
        <v>8527</v>
      </c>
      <c r="C15" s="94">
        <v>4839</v>
      </c>
      <c r="D15" s="94">
        <v>1078</v>
      </c>
      <c r="E15" s="93">
        <v>213</v>
      </c>
      <c r="F15" s="94">
        <v>1119</v>
      </c>
      <c r="G15" s="93">
        <v>522</v>
      </c>
      <c r="H15" s="25">
        <v>16298</v>
      </c>
      <c r="I15" s="93">
        <v>115</v>
      </c>
      <c r="J15" s="96">
        <v>16413</v>
      </c>
    </row>
    <row r="16" spans="1:10" x14ac:dyDescent="0.25">
      <c r="A16" s="14" t="s">
        <v>10</v>
      </c>
      <c r="B16" s="94">
        <v>5174</v>
      </c>
      <c r="C16" s="94">
        <v>2853</v>
      </c>
      <c r="D16" s="93">
        <v>687</v>
      </c>
      <c r="E16" s="93">
        <v>263</v>
      </c>
      <c r="F16" s="94">
        <v>1056</v>
      </c>
      <c r="G16" s="93">
        <v>350</v>
      </c>
      <c r="H16" s="25">
        <v>10383</v>
      </c>
      <c r="I16" s="93">
        <v>44</v>
      </c>
      <c r="J16" s="96">
        <v>10427</v>
      </c>
    </row>
    <row r="17" spans="1:10" x14ac:dyDescent="0.25">
      <c r="A17" s="14" t="s">
        <v>11</v>
      </c>
      <c r="B17" s="93">
        <v>378</v>
      </c>
      <c r="C17" s="93">
        <v>90</v>
      </c>
      <c r="D17" s="93">
        <v>1</v>
      </c>
      <c r="E17" s="93">
        <v>13</v>
      </c>
      <c r="F17" s="93">
        <v>0</v>
      </c>
      <c r="G17" s="93">
        <v>0</v>
      </c>
      <c r="H17" s="26">
        <v>482</v>
      </c>
      <c r="I17" s="93">
        <v>0</v>
      </c>
      <c r="J17" s="95">
        <v>482</v>
      </c>
    </row>
    <row r="18" spans="1:10" x14ac:dyDescent="0.25">
      <c r="A18" s="14" t="s">
        <v>12</v>
      </c>
      <c r="B18" s="94">
        <v>1437</v>
      </c>
      <c r="C18" s="93">
        <v>624</v>
      </c>
      <c r="D18" s="93">
        <v>11</v>
      </c>
      <c r="E18" s="93">
        <v>40</v>
      </c>
      <c r="F18" s="93">
        <v>0</v>
      </c>
      <c r="G18" s="93">
        <v>0</v>
      </c>
      <c r="H18" s="25">
        <v>2112</v>
      </c>
      <c r="I18" s="93">
        <v>28</v>
      </c>
      <c r="J18" s="96">
        <v>2140</v>
      </c>
    </row>
    <row r="19" spans="1:10" x14ac:dyDescent="0.25">
      <c r="A19" s="14" t="s">
        <v>13</v>
      </c>
      <c r="B19" s="94">
        <v>1812</v>
      </c>
      <c r="C19" s="93">
        <v>580</v>
      </c>
      <c r="D19" s="93">
        <v>25</v>
      </c>
      <c r="E19" s="93">
        <v>83</v>
      </c>
      <c r="F19" s="93">
        <v>0</v>
      </c>
      <c r="G19" s="93">
        <v>0</v>
      </c>
      <c r="H19" s="25">
        <v>2500</v>
      </c>
      <c r="I19" s="93">
        <v>42</v>
      </c>
      <c r="J19" s="96">
        <v>2542</v>
      </c>
    </row>
    <row r="20" spans="1:10" x14ac:dyDescent="0.25">
      <c r="A20" s="14" t="s">
        <v>14</v>
      </c>
      <c r="B20" s="94">
        <v>3647</v>
      </c>
      <c r="C20" s="94">
        <v>1501</v>
      </c>
      <c r="D20" s="93">
        <v>51</v>
      </c>
      <c r="E20" s="93">
        <v>119</v>
      </c>
      <c r="F20" s="93">
        <v>0</v>
      </c>
      <c r="G20" s="93">
        <v>0</v>
      </c>
      <c r="H20" s="25">
        <v>5318</v>
      </c>
      <c r="I20" s="93">
        <v>73</v>
      </c>
      <c r="J20" s="96">
        <v>5391</v>
      </c>
    </row>
    <row r="21" spans="1:10" x14ac:dyDescent="0.25">
      <c r="A21" s="14" t="s">
        <v>15</v>
      </c>
      <c r="B21" s="94">
        <v>1102</v>
      </c>
      <c r="C21" s="93">
        <v>471</v>
      </c>
      <c r="D21" s="93">
        <v>0</v>
      </c>
      <c r="E21" s="93">
        <v>39</v>
      </c>
      <c r="F21" s="93">
        <v>0</v>
      </c>
      <c r="G21" s="93">
        <v>0</v>
      </c>
      <c r="H21" s="25">
        <v>1612</v>
      </c>
      <c r="I21" s="93">
        <v>0</v>
      </c>
      <c r="J21" s="96">
        <v>1612</v>
      </c>
    </row>
    <row r="22" spans="1:10" x14ac:dyDescent="0.25">
      <c r="A22" s="14" t="s">
        <v>52</v>
      </c>
      <c r="B22" s="93">
        <v>0</v>
      </c>
      <c r="C22" s="93">
        <v>0</v>
      </c>
      <c r="D22" s="93">
        <v>0</v>
      </c>
      <c r="E22" s="93">
        <v>0</v>
      </c>
      <c r="F22" s="93">
        <v>1</v>
      </c>
      <c r="G22" s="93">
        <v>0</v>
      </c>
      <c r="H22" s="26">
        <v>1</v>
      </c>
      <c r="I22" s="93">
        <v>0</v>
      </c>
      <c r="J22" s="95">
        <v>1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92"/>
    </row>
    <row r="24" spans="1:10" ht="24.95" customHeight="1" thickBot="1" x14ac:dyDescent="0.3">
      <c r="A24" s="16" t="s">
        <v>16</v>
      </c>
      <c r="B24" s="22">
        <f>SUM(B7:B22)</f>
        <v>44212</v>
      </c>
      <c r="C24" s="22">
        <f t="shared" ref="C24:J24" si="0">SUM(C7:C22)</f>
        <v>35301</v>
      </c>
      <c r="D24" s="22">
        <f t="shared" si="0"/>
        <v>14190</v>
      </c>
      <c r="E24" s="22">
        <f t="shared" si="0"/>
        <v>4162</v>
      </c>
      <c r="F24" s="22">
        <f t="shared" si="0"/>
        <v>14710</v>
      </c>
      <c r="G24" s="22">
        <f t="shared" si="0"/>
        <v>14015</v>
      </c>
      <c r="H24" s="22">
        <f t="shared" si="0"/>
        <v>126590</v>
      </c>
      <c r="I24" s="22">
        <f t="shared" si="0"/>
        <v>1280</v>
      </c>
      <c r="J24" s="22">
        <f t="shared" si="0"/>
        <v>127870</v>
      </c>
    </row>
    <row r="25" spans="1:10" x14ac:dyDescent="0.25">
      <c r="A25" s="14" t="s">
        <v>17</v>
      </c>
      <c r="B25" s="98">
        <v>2125</v>
      </c>
      <c r="C25" s="98">
        <v>1476</v>
      </c>
      <c r="D25" s="97">
        <v>363</v>
      </c>
      <c r="E25" s="97">
        <v>173</v>
      </c>
      <c r="F25" s="98">
        <v>1945</v>
      </c>
      <c r="G25" s="98">
        <v>1024</v>
      </c>
      <c r="H25" s="25">
        <v>7106</v>
      </c>
      <c r="I25" s="97">
        <v>82</v>
      </c>
      <c r="J25" s="100">
        <v>7188</v>
      </c>
    </row>
    <row r="26" spans="1:10" x14ac:dyDescent="0.25">
      <c r="A26" s="14" t="s">
        <v>18</v>
      </c>
      <c r="B26" s="98">
        <v>7755</v>
      </c>
      <c r="C26" s="98">
        <v>5801</v>
      </c>
      <c r="D26" s="97">
        <v>935</v>
      </c>
      <c r="E26" s="97">
        <v>478</v>
      </c>
      <c r="F26" s="98">
        <v>4624</v>
      </c>
      <c r="G26" s="98">
        <v>3095</v>
      </c>
      <c r="H26" s="25">
        <v>22688</v>
      </c>
      <c r="I26" s="97">
        <v>149</v>
      </c>
      <c r="J26" s="100">
        <v>22837</v>
      </c>
    </row>
    <row r="27" spans="1:10" x14ac:dyDescent="0.25">
      <c r="A27" s="14" t="s">
        <v>19</v>
      </c>
      <c r="B27" s="98">
        <v>22687</v>
      </c>
      <c r="C27" s="98">
        <v>15833</v>
      </c>
      <c r="D27" s="98">
        <v>3825</v>
      </c>
      <c r="E27" s="98">
        <v>1141</v>
      </c>
      <c r="F27" s="98">
        <v>15548</v>
      </c>
      <c r="G27" s="98">
        <v>8708</v>
      </c>
      <c r="H27" s="25">
        <v>67742</v>
      </c>
      <c r="I27" s="97">
        <v>700</v>
      </c>
      <c r="J27" s="100">
        <v>68442</v>
      </c>
    </row>
    <row r="28" spans="1:10" x14ac:dyDescent="0.25">
      <c r="A28" s="14" t="s">
        <v>20</v>
      </c>
      <c r="B28" s="98">
        <v>40819</v>
      </c>
      <c r="C28" s="98">
        <v>19956</v>
      </c>
      <c r="D28" s="98">
        <v>11631</v>
      </c>
      <c r="E28" s="98">
        <v>1912</v>
      </c>
      <c r="F28" s="98">
        <v>19140</v>
      </c>
      <c r="G28" s="98">
        <v>12543</v>
      </c>
      <c r="H28" s="25">
        <v>106001</v>
      </c>
      <c r="I28" s="98">
        <v>1241</v>
      </c>
      <c r="J28" s="100">
        <v>107242</v>
      </c>
    </row>
    <row r="29" spans="1:10" x14ac:dyDescent="0.25">
      <c r="A29" s="14" t="s">
        <v>21</v>
      </c>
      <c r="B29" s="98">
        <v>64756</v>
      </c>
      <c r="C29" s="98">
        <v>27214</v>
      </c>
      <c r="D29" s="98">
        <v>15538</v>
      </c>
      <c r="E29" s="98">
        <v>5307</v>
      </c>
      <c r="F29" s="98">
        <v>19250</v>
      </c>
      <c r="G29" s="98">
        <v>9542</v>
      </c>
      <c r="H29" s="25">
        <v>141607</v>
      </c>
      <c r="I29" s="98">
        <v>1763</v>
      </c>
      <c r="J29" s="100">
        <v>143370</v>
      </c>
    </row>
    <row r="30" spans="1:10" x14ac:dyDescent="0.25">
      <c r="A30" s="14" t="s">
        <v>22</v>
      </c>
      <c r="B30" s="98">
        <v>95840</v>
      </c>
      <c r="C30" s="98">
        <v>60774</v>
      </c>
      <c r="D30" s="98">
        <v>9130</v>
      </c>
      <c r="E30" s="98">
        <v>6551</v>
      </c>
      <c r="F30" s="98">
        <v>14911</v>
      </c>
      <c r="G30" s="98">
        <v>14529</v>
      </c>
      <c r="H30" s="25">
        <v>201735</v>
      </c>
      <c r="I30" s="98">
        <v>2272</v>
      </c>
      <c r="J30" s="100">
        <v>204007</v>
      </c>
    </row>
    <row r="31" spans="1:10" x14ac:dyDescent="0.25">
      <c r="A31" s="14" t="s">
        <v>23</v>
      </c>
      <c r="B31" s="98">
        <v>40775</v>
      </c>
      <c r="C31" s="98">
        <v>19307</v>
      </c>
      <c r="D31" s="98">
        <v>5180</v>
      </c>
      <c r="E31" s="98">
        <v>14326</v>
      </c>
      <c r="F31" s="98">
        <v>12887</v>
      </c>
      <c r="G31" s="98">
        <v>4092</v>
      </c>
      <c r="H31" s="25">
        <v>96567</v>
      </c>
      <c r="I31" s="97">
        <v>489</v>
      </c>
      <c r="J31" s="100">
        <v>97056</v>
      </c>
    </row>
    <row r="32" spans="1:10" x14ac:dyDescent="0.25">
      <c r="A32" s="14" t="s">
        <v>24</v>
      </c>
      <c r="B32" s="98">
        <v>19212</v>
      </c>
      <c r="C32" s="98">
        <v>6542</v>
      </c>
      <c r="D32" s="98">
        <v>1373</v>
      </c>
      <c r="E32" s="98">
        <v>3891</v>
      </c>
      <c r="F32" s="97">
        <v>557</v>
      </c>
      <c r="G32" s="98">
        <v>1232</v>
      </c>
      <c r="H32" s="25">
        <v>32807</v>
      </c>
      <c r="I32" s="97">
        <v>2</v>
      </c>
      <c r="J32" s="100">
        <v>32809</v>
      </c>
    </row>
    <row r="33" spans="1:10" x14ac:dyDescent="0.25">
      <c r="A33" s="14" t="s">
        <v>25</v>
      </c>
      <c r="B33" s="98">
        <v>17693</v>
      </c>
      <c r="C33" s="98">
        <v>8110</v>
      </c>
      <c r="D33" s="97">
        <v>934</v>
      </c>
      <c r="E33" s="98">
        <v>1730</v>
      </c>
      <c r="F33" s="98">
        <v>1006</v>
      </c>
      <c r="G33" s="98">
        <v>1406</v>
      </c>
      <c r="H33" s="25">
        <v>30879</v>
      </c>
      <c r="I33" s="97">
        <v>0</v>
      </c>
      <c r="J33" s="100">
        <v>30879</v>
      </c>
    </row>
    <row r="34" spans="1:10" x14ac:dyDescent="0.25">
      <c r="A34" s="14" t="s">
        <v>53</v>
      </c>
      <c r="B34" s="97">
        <v>2</v>
      </c>
      <c r="C34" s="97">
        <v>0</v>
      </c>
      <c r="D34" s="97">
        <v>0</v>
      </c>
      <c r="E34" s="97">
        <v>0</v>
      </c>
      <c r="F34" s="97">
        <v>38</v>
      </c>
      <c r="G34" s="97">
        <v>2</v>
      </c>
      <c r="H34" s="26">
        <v>42</v>
      </c>
      <c r="I34" s="97">
        <v>0</v>
      </c>
      <c r="J34" s="99">
        <v>42</v>
      </c>
    </row>
    <row r="35" spans="1:10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91" t="s">
        <v>29</v>
      </c>
    </row>
    <row r="36" spans="1:10" ht="24.95" customHeight="1" thickBot="1" x14ac:dyDescent="0.3">
      <c r="A36" s="16" t="s">
        <v>26</v>
      </c>
      <c r="B36" s="22">
        <f>SUM(B25:B34)</f>
        <v>311664</v>
      </c>
      <c r="C36" s="22">
        <f t="shared" ref="C36:J36" si="1">SUM(C25:C34)</f>
        <v>165013</v>
      </c>
      <c r="D36" s="22">
        <f t="shared" si="1"/>
        <v>48909</v>
      </c>
      <c r="E36" s="22">
        <f t="shared" si="1"/>
        <v>35509</v>
      </c>
      <c r="F36" s="22">
        <f t="shared" si="1"/>
        <v>89906</v>
      </c>
      <c r="G36" s="22">
        <f t="shared" si="1"/>
        <v>56173</v>
      </c>
      <c r="H36" s="22">
        <f t="shared" si="1"/>
        <v>707174</v>
      </c>
      <c r="I36" s="22">
        <f t="shared" si="1"/>
        <v>6698</v>
      </c>
      <c r="J36" s="22">
        <f t="shared" si="1"/>
        <v>713872</v>
      </c>
    </row>
    <row r="37" spans="1:10" ht="30" customHeight="1" thickTop="1" thickBot="1" x14ac:dyDescent="0.3">
      <c r="A37" s="7" t="s">
        <v>27</v>
      </c>
      <c r="B37" s="23">
        <f>SUM(B24,B36)</f>
        <v>355876</v>
      </c>
      <c r="C37" s="23">
        <f t="shared" ref="C37:J37" si="2">SUM(C24,C36)</f>
        <v>200314</v>
      </c>
      <c r="D37" s="23">
        <f t="shared" si="2"/>
        <v>63099</v>
      </c>
      <c r="E37" s="23">
        <f t="shared" si="2"/>
        <v>39671</v>
      </c>
      <c r="F37" s="23">
        <f t="shared" si="2"/>
        <v>104616</v>
      </c>
      <c r="G37" s="23">
        <f t="shared" si="2"/>
        <v>70188</v>
      </c>
      <c r="H37" s="23">
        <f t="shared" si="2"/>
        <v>833764</v>
      </c>
      <c r="I37" s="23">
        <f t="shared" si="2"/>
        <v>7978</v>
      </c>
      <c r="J37" s="23">
        <f t="shared" si="2"/>
        <v>841742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4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49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101">
        <v>1</v>
      </c>
      <c r="C7" s="101">
        <v>0</v>
      </c>
      <c r="D7" s="101">
        <v>0</v>
      </c>
      <c r="E7" s="101">
        <v>0</v>
      </c>
      <c r="F7" s="101">
        <v>0</v>
      </c>
      <c r="G7" s="101">
        <v>0</v>
      </c>
      <c r="H7" s="26">
        <v>1</v>
      </c>
      <c r="I7" s="101">
        <v>0</v>
      </c>
      <c r="J7" s="103">
        <v>1</v>
      </c>
    </row>
    <row r="8" spans="1:10" x14ac:dyDescent="0.25">
      <c r="A8" s="14" t="s">
        <v>2</v>
      </c>
      <c r="B8" s="101">
        <v>1</v>
      </c>
      <c r="C8" s="101">
        <v>0</v>
      </c>
      <c r="D8" s="101">
        <v>0</v>
      </c>
      <c r="E8" s="101">
        <v>0</v>
      </c>
      <c r="F8" s="101">
        <v>4</v>
      </c>
      <c r="G8" s="101">
        <v>0</v>
      </c>
      <c r="H8" s="26">
        <v>5</v>
      </c>
      <c r="I8" s="101">
        <v>0</v>
      </c>
      <c r="J8" s="103">
        <v>5</v>
      </c>
    </row>
    <row r="9" spans="1:10" x14ac:dyDescent="0.25">
      <c r="A9" s="14" t="s">
        <v>3</v>
      </c>
      <c r="B9" s="101">
        <v>68</v>
      </c>
      <c r="C9" s="101">
        <v>40</v>
      </c>
      <c r="D9" s="101">
        <v>16</v>
      </c>
      <c r="E9" s="101">
        <v>6</v>
      </c>
      <c r="F9" s="101">
        <v>31</v>
      </c>
      <c r="G9" s="101">
        <v>30</v>
      </c>
      <c r="H9" s="26">
        <v>191</v>
      </c>
      <c r="I9" s="101">
        <v>2</v>
      </c>
      <c r="J9" s="103">
        <v>193</v>
      </c>
    </row>
    <row r="10" spans="1:10" x14ac:dyDescent="0.25">
      <c r="A10" s="14" t="s">
        <v>4</v>
      </c>
      <c r="B10" s="101">
        <v>154</v>
      </c>
      <c r="C10" s="101">
        <v>65</v>
      </c>
      <c r="D10" s="101">
        <v>33</v>
      </c>
      <c r="E10" s="101">
        <v>6</v>
      </c>
      <c r="F10" s="101">
        <v>114</v>
      </c>
      <c r="G10" s="101">
        <v>58</v>
      </c>
      <c r="H10" s="26">
        <v>430</v>
      </c>
      <c r="I10" s="101">
        <v>1</v>
      </c>
      <c r="J10" s="103">
        <v>431</v>
      </c>
    </row>
    <row r="11" spans="1:10" x14ac:dyDescent="0.25">
      <c r="A11" s="14" t="s">
        <v>5</v>
      </c>
      <c r="B11" s="102">
        <v>1456</v>
      </c>
      <c r="C11" s="102">
        <v>1771</v>
      </c>
      <c r="D11" s="102">
        <v>1290</v>
      </c>
      <c r="E11" s="101">
        <v>336</v>
      </c>
      <c r="F11" s="102">
        <v>1022</v>
      </c>
      <c r="G11" s="102">
        <v>1144</v>
      </c>
      <c r="H11" s="25">
        <v>7019</v>
      </c>
      <c r="I11" s="101">
        <v>46</v>
      </c>
      <c r="J11" s="104">
        <v>7065</v>
      </c>
    </row>
    <row r="12" spans="1:10" x14ac:dyDescent="0.25">
      <c r="A12" s="14" t="s">
        <v>6</v>
      </c>
      <c r="B12" s="102">
        <v>3742</v>
      </c>
      <c r="C12" s="102">
        <v>5619</v>
      </c>
      <c r="D12" s="102">
        <v>3149</v>
      </c>
      <c r="E12" s="101">
        <v>958</v>
      </c>
      <c r="F12" s="102">
        <v>4017</v>
      </c>
      <c r="G12" s="102">
        <v>4123</v>
      </c>
      <c r="H12" s="25">
        <v>21608</v>
      </c>
      <c r="I12" s="101">
        <v>184</v>
      </c>
      <c r="J12" s="104">
        <v>21792</v>
      </c>
    </row>
    <row r="13" spans="1:10" x14ac:dyDescent="0.25">
      <c r="A13" s="14" t="s">
        <v>7</v>
      </c>
      <c r="B13" s="102">
        <v>6583</v>
      </c>
      <c r="C13" s="102">
        <v>6517</v>
      </c>
      <c r="D13" s="102">
        <v>4325</v>
      </c>
      <c r="E13" s="102">
        <v>1096</v>
      </c>
      <c r="F13" s="102">
        <v>4044</v>
      </c>
      <c r="G13" s="102">
        <v>4843</v>
      </c>
      <c r="H13" s="25">
        <v>27408</v>
      </c>
      <c r="I13" s="101">
        <v>279</v>
      </c>
      <c r="J13" s="104">
        <v>27687</v>
      </c>
    </row>
    <row r="14" spans="1:10" x14ac:dyDescent="0.25">
      <c r="A14" s="14" t="s">
        <v>8</v>
      </c>
      <c r="B14" s="102">
        <v>10241</v>
      </c>
      <c r="C14" s="102">
        <v>10270</v>
      </c>
      <c r="D14" s="102">
        <v>3552</v>
      </c>
      <c r="E14" s="102">
        <v>1043</v>
      </c>
      <c r="F14" s="102">
        <v>3277</v>
      </c>
      <c r="G14" s="102">
        <v>2924</v>
      </c>
      <c r="H14" s="25">
        <v>31307</v>
      </c>
      <c r="I14" s="101">
        <v>469</v>
      </c>
      <c r="J14" s="104">
        <v>31776</v>
      </c>
    </row>
    <row r="15" spans="1:10" x14ac:dyDescent="0.25">
      <c r="A15" s="14" t="s">
        <v>9</v>
      </c>
      <c r="B15" s="102">
        <v>8258</v>
      </c>
      <c r="C15" s="102">
        <v>4866</v>
      </c>
      <c r="D15" s="102">
        <v>1099</v>
      </c>
      <c r="E15" s="101">
        <v>215</v>
      </c>
      <c r="F15" s="102">
        <v>1129</v>
      </c>
      <c r="G15" s="101">
        <v>537</v>
      </c>
      <c r="H15" s="25">
        <v>16104</v>
      </c>
      <c r="I15" s="101">
        <v>100</v>
      </c>
      <c r="J15" s="104">
        <v>16204</v>
      </c>
    </row>
    <row r="16" spans="1:10" x14ac:dyDescent="0.25">
      <c r="A16" s="14" t="s">
        <v>10</v>
      </c>
      <c r="B16" s="102">
        <v>5348</v>
      </c>
      <c r="C16" s="102">
        <v>2892</v>
      </c>
      <c r="D16" s="101">
        <v>681</v>
      </c>
      <c r="E16" s="101">
        <v>264</v>
      </c>
      <c r="F16" s="102">
        <v>1067</v>
      </c>
      <c r="G16" s="101">
        <v>326</v>
      </c>
      <c r="H16" s="25">
        <v>10578</v>
      </c>
      <c r="I16" s="101">
        <v>44</v>
      </c>
      <c r="J16" s="104">
        <v>10622</v>
      </c>
    </row>
    <row r="17" spans="1:10" x14ac:dyDescent="0.25">
      <c r="A17" s="14" t="s">
        <v>11</v>
      </c>
      <c r="B17" s="101">
        <v>375</v>
      </c>
      <c r="C17" s="101">
        <v>85</v>
      </c>
      <c r="D17" s="101">
        <v>1</v>
      </c>
      <c r="E17" s="101">
        <v>13</v>
      </c>
      <c r="F17" s="101">
        <v>0</v>
      </c>
      <c r="G17" s="101">
        <v>0</v>
      </c>
      <c r="H17" s="26">
        <v>474</v>
      </c>
      <c r="I17" s="101">
        <v>0</v>
      </c>
      <c r="J17" s="103">
        <v>474</v>
      </c>
    </row>
    <row r="18" spans="1:10" x14ac:dyDescent="0.25">
      <c r="A18" s="14" t="s">
        <v>12</v>
      </c>
      <c r="B18" s="102">
        <v>1439</v>
      </c>
      <c r="C18" s="101">
        <v>624</v>
      </c>
      <c r="D18" s="101">
        <v>11</v>
      </c>
      <c r="E18" s="101">
        <v>40</v>
      </c>
      <c r="F18" s="101">
        <v>0</v>
      </c>
      <c r="G18" s="101">
        <v>0</v>
      </c>
      <c r="H18" s="25">
        <v>2114</v>
      </c>
      <c r="I18" s="101">
        <v>28</v>
      </c>
      <c r="J18" s="104">
        <v>2142</v>
      </c>
    </row>
    <row r="19" spans="1:10" x14ac:dyDescent="0.25">
      <c r="A19" s="14" t="s">
        <v>13</v>
      </c>
      <c r="B19" s="102">
        <v>1800</v>
      </c>
      <c r="C19" s="101">
        <v>570</v>
      </c>
      <c r="D19" s="101">
        <v>24</v>
      </c>
      <c r="E19" s="101">
        <v>82</v>
      </c>
      <c r="F19" s="101">
        <v>0</v>
      </c>
      <c r="G19" s="101">
        <v>0</v>
      </c>
      <c r="H19" s="25">
        <v>2476</v>
      </c>
      <c r="I19" s="101">
        <v>54</v>
      </c>
      <c r="J19" s="104">
        <v>2530</v>
      </c>
    </row>
    <row r="20" spans="1:10" x14ac:dyDescent="0.25">
      <c r="A20" s="14" t="s">
        <v>14</v>
      </c>
      <c r="B20" s="102">
        <v>3677</v>
      </c>
      <c r="C20" s="102">
        <v>1508</v>
      </c>
      <c r="D20" s="101">
        <v>51</v>
      </c>
      <c r="E20" s="101">
        <v>115</v>
      </c>
      <c r="F20" s="101">
        <v>0</v>
      </c>
      <c r="G20" s="101">
        <v>0</v>
      </c>
      <c r="H20" s="25">
        <v>5351</v>
      </c>
      <c r="I20" s="101">
        <v>60</v>
      </c>
      <c r="J20" s="104">
        <v>5411</v>
      </c>
    </row>
    <row r="21" spans="1:10" x14ac:dyDescent="0.25">
      <c r="A21" s="14" t="s">
        <v>15</v>
      </c>
      <c r="B21" s="102">
        <v>1081</v>
      </c>
      <c r="C21" s="101">
        <v>467</v>
      </c>
      <c r="D21" s="101">
        <v>0</v>
      </c>
      <c r="E21" s="101">
        <v>41</v>
      </c>
      <c r="F21" s="101">
        <v>0</v>
      </c>
      <c r="G21" s="101">
        <v>0</v>
      </c>
      <c r="H21" s="25">
        <v>1589</v>
      </c>
      <c r="I21" s="101">
        <v>0</v>
      </c>
      <c r="J21" s="104">
        <v>1589</v>
      </c>
    </row>
    <row r="22" spans="1:10" x14ac:dyDescent="0.25">
      <c r="A22" s="14" t="s">
        <v>52</v>
      </c>
      <c r="B22" s="101">
        <v>0</v>
      </c>
      <c r="C22" s="101">
        <v>0</v>
      </c>
      <c r="D22" s="101">
        <v>0</v>
      </c>
      <c r="E22" s="101">
        <v>0</v>
      </c>
      <c r="F22" s="101">
        <v>1</v>
      </c>
      <c r="G22" s="101">
        <v>1</v>
      </c>
      <c r="H22" s="26">
        <v>2</v>
      </c>
      <c r="I22" s="101">
        <v>0</v>
      </c>
      <c r="J22" s="103">
        <v>2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100"/>
    </row>
    <row r="24" spans="1:10" ht="24.95" customHeight="1" thickBot="1" x14ac:dyDescent="0.3">
      <c r="A24" s="16" t="s">
        <v>16</v>
      </c>
      <c r="B24" s="22">
        <f>SUM(B7:B22)</f>
        <v>44224</v>
      </c>
      <c r="C24" s="22">
        <f t="shared" ref="C24:J24" si="0">SUM(C7:C22)</f>
        <v>35294</v>
      </c>
      <c r="D24" s="22">
        <f t="shared" si="0"/>
        <v>14232</v>
      </c>
      <c r="E24" s="22">
        <f t="shared" si="0"/>
        <v>4215</v>
      </c>
      <c r="F24" s="22">
        <f t="shared" si="0"/>
        <v>14706</v>
      </c>
      <c r="G24" s="22">
        <f t="shared" si="0"/>
        <v>13986</v>
      </c>
      <c r="H24" s="22">
        <f t="shared" si="0"/>
        <v>126657</v>
      </c>
      <c r="I24" s="22">
        <f t="shared" si="0"/>
        <v>1267</v>
      </c>
      <c r="J24" s="22">
        <f t="shared" si="0"/>
        <v>127924</v>
      </c>
    </row>
    <row r="25" spans="1:10" x14ac:dyDescent="0.25">
      <c r="A25" s="14" t="s">
        <v>17</v>
      </c>
      <c r="B25" s="106">
        <v>2111</v>
      </c>
      <c r="C25" s="106">
        <v>1457</v>
      </c>
      <c r="D25" s="105">
        <v>365</v>
      </c>
      <c r="E25" s="105">
        <v>175</v>
      </c>
      <c r="F25" s="106">
        <v>1951</v>
      </c>
      <c r="G25" s="106">
        <v>1023</v>
      </c>
      <c r="H25" s="25">
        <v>7082</v>
      </c>
      <c r="I25" s="105">
        <v>82</v>
      </c>
      <c r="J25" s="108">
        <v>7164</v>
      </c>
    </row>
    <row r="26" spans="1:10" x14ac:dyDescent="0.25">
      <c r="A26" s="14" t="s">
        <v>18</v>
      </c>
      <c r="B26" s="106">
        <v>7729</v>
      </c>
      <c r="C26" s="106">
        <v>5709</v>
      </c>
      <c r="D26" s="105">
        <v>938</v>
      </c>
      <c r="E26" s="105">
        <v>485</v>
      </c>
      <c r="F26" s="106">
        <v>4619</v>
      </c>
      <c r="G26" s="106">
        <v>3093</v>
      </c>
      <c r="H26" s="25">
        <v>22573</v>
      </c>
      <c r="I26" s="105">
        <v>147</v>
      </c>
      <c r="J26" s="108">
        <v>22720</v>
      </c>
    </row>
    <row r="27" spans="1:10" x14ac:dyDescent="0.25">
      <c r="A27" s="14" t="s">
        <v>19</v>
      </c>
      <c r="B27" s="106">
        <v>22681</v>
      </c>
      <c r="C27" s="106">
        <v>15849</v>
      </c>
      <c r="D27" s="106">
        <v>3838</v>
      </c>
      <c r="E27" s="106">
        <v>1146</v>
      </c>
      <c r="F27" s="106">
        <v>15534</v>
      </c>
      <c r="G27" s="106">
        <v>8709</v>
      </c>
      <c r="H27" s="25">
        <v>67757</v>
      </c>
      <c r="I27" s="105">
        <v>706</v>
      </c>
      <c r="J27" s="108">
        <v>68463</v>
      </c>
    </row>
    <row r="28" spans="1:10" x14ac:dyDescent="0.25">
      <c r="A28" s="14" t="s">
        <v>20</v>
      </c>
      <c r="B28" s="106">
        <v>40967</v>
      </c>
      <c r="C28" s="106">
        <v>19823</v>
      </c>
      <c r="D28" s="106">
        <v>11579</v>
      </c>
      <c r="E28" s="106">
        <v>1912</v>
      </c>
      <c r="F28" s="106">
        <v>19132</v>
      </c>
      <c r="G28" s="106">
        <v>12546</v>
      </c>
      <c r="H28" s="25">
        <v>105959</v>
      </c>
      <c r="I28" s="106">
        <v>1246</v>
      </c>
      <c r="J28" s="108">
        <v>107205</v>
      </c>
    </row>
    <row r="29" spans="1:10" x14ac:dyDescent="0.25">
      <c r="A29" s="14" t="s">
        <v>21</v>
      </c>
      <c r="B29" s="106">
        <v>64751</v>
      </c>
      <c r="C29" s="106">
        <v>27095</v>
      </c>
      <c r="D29" s="106">
        <v>15424</v>
      </c>
      <c r="E29" s="106">
        <v>5669</v>
      </c>
      <c r="F29" s="106">
        <v>19235</v>
      </c>
      <c r="G29" s="106">
        <v>9597</v>
      </c>
      <c r="H29" s="25">
        <v>141771</v>
      </c>
      <c r="I29" s="106">
        <v>1809</v>
      </c>
      <c r="J29" s="108">
        <v>143580</v>
      </c>
    </row>
    <row r="30" spans="1:10" x14ac:dyDescent="0.25">
      <c r="A30" s="14" t="s">
        <v>22</v>
      </c>
      <c r="B30" s="106">
        <v>95567</v>
      </c>
      <c r="C30" s="106">
        <v>60842</v>
      </c>
      <c r="D30" s="106">
        <v>9124</v>
      </c>
      <c r="E30" s="106">
        <v>7195</v>
      </c>
      <c r="F30" s="106">
        <v>15056</v>
      </c>
      <c r="G30" s="106">
        <v>14670</v>
      </c>
      <c r="H30" s="25">
        <v>202454</v>
      </c>
      <c r="I30" s="106">
        <v>2264</v>
      </c>
      <c r="J30" s="108">
        <v>204718</v>
      </c>
    </row>
    <row r="31" spans="1:10" x14ac:dyDescent="0.25">
      <c r="A31" s="14" t="s">
        <v>23</v>
      </c>
      <c r="B31" s="106">
        <v>40468</v>
      </c>
      <c r="C31" s="106">
        <v>18755</v>
      </c>
      <c r="D31" s="106">
        <v>5092</v>
      </c>
      <c r="E31" s="106">
        <v>13536</v>
      </c>
      <c r="F31" s="106">
        <v>13117</v>
      </c>
      <c r="G31" s="106">
        <v>4155</v>
      </c>
      <c r="H31" s="25">
        <v>95123</v>
      </c>
      <c r="I31" s="105">
        <v>497</v>
      </c>
      <c r="J31" s="108">
        <v>95620</v>
      </c>
    </row>
    <row r="32" spans="1:10" x14ac:dyDescent="0.25">
      <c r="A32" s="14" t="s">
        <v>24</v>
      </c>
      <c r="B32" s="106">
        <v>19228</v>
      </c>
      <c r="C32" s="106">
        <v>6692</v>
      </c>
      <c r="D32" s="106">
        <v>1383</v>
      </c>
      <c r="E32" s="106">
        <v>3988</v>
      </c>
      <c r="F32" s="105">
        <v>550</v>
      </c>
      <c r="G32" s="106">
        <v>1173</v>
      </c>
      <c r="H32" s="25">
        <v>33014</v>
      </c>
      <c r="I32" s="105">
        <v>2</v>
      </c>
      <c r="J32" s="108">
        <v>33016</v>
      </c>
    </row>
    <row r="33" spans="1:10" x14ac:dyDescent="0.25">
      <c r="A33" s="14" t="s">
        <v>25</v>
      </c>
      <c r="B33" s="106">
        <v>17896</v>
      </c>
      <c r="C33" s="106">
        <v>8093</v>
      </c>
      <c r="D33" s="105">
        <v>920</v>
      </c>
      <c r="E33" s="106">
        <v>1907</v>
      </c>
      <c r="F33" s="106">
        <v>901</v>
      </c>
      <c r="G33" s="106">
        <v>1414</v>
      </c>
      <c r="H33" s="25">
        <v>31131</v>
      </c>
      <c r="I33" s="105">
        <v>0</v>
      </c>
      <c r="J33" s="108">
        <v>31131</v>
      </c>
    </row>
    <row r="34" spans="1:10" x14ac:dyDescent="0.25">
      <c r="A34" s="14" t="s">
        <v>53</v>
      </c>
      <c r="B34" s="105">
        <v>1</v>
      </c>
      <c r="C34" s="105">
        <v>0</v>
      </c>
      <c r="D34" s="105">
        <v>0</v>
      </c>
      <c r="E34" s="105">
        <v>0</v>
      </c>
      <c r="F34" s="105">
        <v>2</v>
      </c>
      <c r="G34" s="105">
        <v>37</v>
      </c>
      <c r="H34" s="26">
        <v>40</v>
      </c>
      <c r="I34" s="105">
        <v>0</v>
      </c>
      <c r="J34" s="107">
        <v>40</v>
      </c>
    </row>
    <row r="35" spans="1:10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99" t="s">
        <v>29</v>
      </c>
    </row>
    <row r="36" spans="1:10" ht="24.95" customHeight="1" thickBot="1" x14ac:dyDescent="0.3">
      <c r="A36" s="16" t="s">
        <v>26</v>
      </c>
      <c r="B36" s="22">
        <f>SUM(B25:B34)</f>
        <v>311399</v>
      </c>
      <c r="C36" s="22">
        <f t="shared" ref="C36:J36" si="1">SUM(C25:C34)</f>
        <v>164315</v>
      </c>
      <c r="D36" s="22">
        <f t="shared" si="1"/>
        <v>48663</v>
      </c>
      <c r="E36" s="22">
        <f t="shared" si="1"/>
        <v>36013</v>
      </c>
      <c r="F36" s="22">
        <f t="shared" si="1"/>
        <v>90097</v>
      </c>
      <c r="G36" s="22">
        <f t="shared" si="1"/>
        <v>56417</v>
      </c>
      <c r="H36" s="22">
        <f t="shared" si="1"/>
        <v>706904</v>
      </c>
      <c r="I36" s="22">
        <f t="shared" si="1"/>
        <v>6753</v>
      </c>
      <c r="J36" s="22">
        <f t="shared" si="1"/>
        <v>713657</v>
      </c>
    </row>
    <row r="37" spans="1:10" ht="30" customHeight="1" thickTop="1" thickBot="1" x14ac:dyDescent="0.3">
      <c r="A37" s="7" t="s">
        <v>27</v>
      </c>
      <c r="B37" s="23">
        <f>SUM(B24,B36)</f>
        <v>355623</v>
      </c>
      <c r="C37" s="23">
        <f t="shared" ref="C37:J37" si="2">SUM(C24,C36)</f>
        <v>199609</v>
      </c>
      <c r="D37" s="23">
        <f t="shared" si="2"/>
        <v>62895</v>
      </c>
      <c r="E37" s="23">
        <f t="shared" si="2"/>
        <v>40228</v>
      </c>
      <c r="F37" s="23">
        <f t="shared" si="2"/>
        <v>104803</v>
      </c>
      <c r="G37" s="23">
        <f t="shared" si="2"/>
        <v>70403</v>
      </c>
      <c r="H37" s="23">
        <f t="shared" si="2"/>
        <v>833561</v>
      </c>
      <c r="I37" s="23">
        <f t="shared" si="2"/>
        <v>8020</v>
      </c>
      <c r="J37" s="23">
        <f t="shared" si="2"/>
        <v>841581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5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50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109">
        <v>1</v>
      </c>
      <c r="C7" s="109">
        <v>0</v>
      </c>
      <c r="D7" s="109">
        <v>0</v>
      </c>
      <c r="E7" s="109">
        <v>0</v>
      </c>
      <c r="F7" s="109">
        <v>0</v>
      </c>
      <c r="G7" s="109">
        <v>0</v>
      </c>
      <c r="H7" s="26">
        <v>1</v>
      </c>
      <c r="I7" s="109">
        <v>0</v>
      </c>
      <c r="J7" s="111">
        <v>1</v>
      </c>
    </row>
    <row r="8" spans="1:10" x14ac:dyDescent="0.25">
      <c r="A8" s="14" t="s">
        <v>2</v>
      </c>
      <c r="B8" s="109">
        <v>1</v>
      </c>
      <c r="C8" s="109">
        <v>0</v>
      </c>
      <c r="D8" s="109">
        <v>0</v>
      </c>
      <c r="E8" s="109">
        <v>0</v>
      </c>
      <c r="F8" s="109">
        <v>4</v>
      </c>
      <c r="G8" s="109">
        <v>0</v>
      </c>
      <c r="H8" s="26">
        <v>5</v>
      </c>
      <c r="I8" s="109">
        <v>0</v>
      </c>
      <c r="J8" s="111">
        <v>5</v>
      </c>
    </row>
    <row r="9" spans="1:10" x14ac:dyDescent="0.25">
      <c r="A9" s="14" t="s">
        <v>3</v>
      </c>
      <c r="B9" s="109">
        <v>68</v>
      </c>
      <c r="C9" s="109">
        <v>39</v>
      </c>
      <c r="D9" s="109">
        <v>16</v>
      </c>
      <c r="E9" s="109">
        <v>5</v>
      </c>
      <c r="F9" s="109">
        <v>33</v>
      </c>
      <c r="G9" s="109">
        <v>30</v>
      </c>
      <c r="H9" s="26">
        <v>191</v>
      </c>
      <c r="I9" s="109">
        <v>3</v>
      </c>
      <c r="J9" s="111">
        <v>194</v>
      </c>
    </row>
    <row r="10" spans="1:10" x14ac:dyDescent="0.25">
      <c r="A10" s="14" t="s">
        <v>4</v>
      </c>
      <c r="B10" s="109">
        <v>155</v>
      </c>
      <c r="C10" s="109">
        <v>70</v>
      </c>
      <c r="D10" s="109">
        <v>33</v>
      </c>
      <c r="E10" s="109">
        <v>7</v>
      </c>
      <c r="F10" s="109">
        <v>114</v>
      </c>
      <c r="G10" s="109">
        <v>57</v>
      </c>
      <c r="H10" s="26">
        <v>436</v>
      </c>
      <c r="I10" s="109">
        <v>1</v>
      </c>
      <c r="J10" s="111">
        <v>437</v>
      </c>
    </row>
    <row r="11" spans="1:10" x14ac:dyDescent="0.25">
      <c r="A11" s="14" t="s">
        <v>5</v>
      </c>
      <c r="B11" s="110">
        <v>1454</v>
      </c>
      <c r="C11" s="110">
        <v>1783</v>
      </c>
      <c r="D11" s="110">
        <v>1327</v>
      </c>
      <c r="E11" s="109">
        <v>325</v>
      </c>
      <c r="F11" s="110">
        <v>1029</v>
      </c>
      <c r="G11" s="110">
        <v>1144</v>
      </c>
      <c r="H11" s="25">
        <v>7062</v>
      </c>
      <c r="I11" s="109">
        <v>48</v>
      </c>
      <c r="J11" s="112">
        <v>7110</v>
      </c>
    </row>
    <row r="12" spans="1:10" x14ac:dyDescent="0.25">
      <c r="A12" s="14" t="s">
        <v>6</v>
      </c>
      <c r="B12" s="110">
        <v>3723</v>
      </c>
      <c r="C12" s="110">
        <v>5529</v>
      </c>
      <c r="D12" s="110">
        <v>3189</v>
      </c>
      <c r="E12" s="109">
        <v>943</v>
      </c>
      <c r="F12" s="110">
        <v>4010</v>
      </c>
      <c r="G12" s="110">
        <v>4197</v>
      </c>
      <c r="H12" s="25">
        <v>21591</v>
      </c>
      <c r="I12" s="109">
        <v>183</v>
      </c>
      <c r="J12" s="112">
        <v>21774</v>
      </c>
    </row>
    <row r="13" spans="1:10" x14ac:dyDescent="0.25">
      <c r="A13" s="14" t="s">
        <v>7</v>
      </c>
      <c r="B13" s="110">
        <v>6670</v>
      </c>
      <c r="C13" s="110">
        <v>6619</v>
      </c>
      <c r="D13" s="110">
        <v>4397</v>
      </c>
      <c r="E13" s="110">
        <v>1095</v>
      </c>
      <c r="F13" s="110">
        <v>4050</v>
      </c>
      <c r="G13" s="110">
        <v>4755</v>
      </c>
      <c r="H13" s="25">
        <v>27586</v>
      </c>
      <c r="I13" s="109">
        <v>284</v>
      </c>
      <c r="J13" s="112">
        <v>27870</v>
      </c>
    </row>
    <row r="14" spans="1:10" x14ac:dyDescent="0.25">
      <c r="A14" s="14" t="s">
        <v>8</v>
      </c>
      <c r="B14" s="110">
        <v>10300</v>
      </c>
      <c r="C14" s="110">
        <v>10491</v>
      </c>
      <c r="D14" s="110">
        <v>3475</v>
      </c>
      <c r="E14" s="110">
        <v>1032</v>
      </c>
      <c r="F14" s="110">
        <v>3260</v>
      </c>
      <c r="G14" s="110">
        <v>2932</v>
      </c>
      <c r="H14" s="25">
        <v>31490</v>
      </c>
      <c r="I14" s="109">
        <v>488</v>
      </c>
      <c r="J14" s="112">
        <v>31978</v>
      </c>
    </row>
    <row r="15" spans="1:10" x14ac:dyDescent="0.25">
      <c r="A15" s="14" t="s">
        <v>9</v>
      </c>
      <c r="B15" s="110">
        <v>8094</v>
      </c>
      <c r="C15" s="110">
        <v>4560</v>
      </c>
      <c r="D15" s="110">
        <v>1096</v>
      </c>
      <c r="E15" s="109">
        <v>239</v>
      </c>
      <c r="F15" s="110">
        <v>1132</v>
      </c>
      <c r="G15" s="109">
        <v>544</v>
      </c>
      <c r="H15" s="25">
        <v>15665</v>
      </c>
      <c r="I15" s="109">
        <v>80</v>
      </c>
      <c r="J15" s="112">
        <v>15745</v>
      </c>
    </row>
    <row r="16" spans="1:10" x14ac:dyDescent="0.25">
      <c r="A16" s="14" t="s">
        <v>10</v>
      </c>
      <c r="B16" s="110">
        <v>5703</v>
      </c>
      <c r="C16" s="110">
        <v>2941</v>
      </c>
      <c r="D16" s="109">
        <v>672</v>
      </c>
      <c r="E16" s="109">
        <v>294</v>
      </c>
      <c r="F16" s="110">
        <v>1073</v>
      </c>
      <c r="G16" s="109">
        <v>336</v>
      </c>
      <c r="H16" s="25">
        <v>11019</v>
      </c>
      <c r="I16" s="109">
        <v>73</v>
      </c>
      <c r="J16" s="112">
        <v>11092</v>
      </c>
    </row>
    <row r="17" spans="1:10" x14ac:dyDescent="0.25">
      <c r="A17" s="14" t="s">
        <v>11</v>
      </c>
      <c r="B17" s="109">
        <v>372</v>
      </c>
      <c r="C17" s="109">
        <v>83</v>
      </c>
      <c r="D17" s="109">
        <v>1</v>
      </c>
      <c r="E17" s="109">
        <v>13</v>
      </c>
      <c r="F17" s="109">
        <v>0</v>
      </c>
      <c r="G17" s="109">
        <v>0</v>
      </c>
      <c r="H17" s="26">
        <v>469</v>
      </c>
      <c r="I17" s="109">
        <v>0</v>
      </c>
      <c r="J17" s="111">
        <v>469</v>
      </c>
    </row>
    <row r="18" spans="1:10" x14ac:dyDescent="0.25">
      <c r="A18" s="14" t="s">
        <v>12</v>
      </c>
      <c r="B18" s="110">
        <v>1438</v>
      </c>
      <c r="C18" s="109">
        <v>619</v>
      </c>
      <c r="D18" s="109">
        <v>11</v>
      </c>
      <c r="E18" s="109">
        <v>39</v>
      </c>
      <c r="F18" s="109">
        <v>0</v>
      </c>
      <c r="G18" s="109">
        <v>0</v>
      </c>
      <c r="H18" s="25">
        <v>2107</v>
      </c>
      <c r="I18" s="109">
        <v>28</v>
      </c>
      <c r="J18" s="112">
        <v>2135</v>
      </c>
    </row>
    <row r="19" spans="1:10" x14ac:dyDescent="0.25">
      <c r="A19" s="14" t="s">
        <v>13</v>
      </c>
      <c r="B19" s="110">
        <v>1795</v>
      </c>
      <c r="C19" s="109">
        <v>573</v>
      </c>
      <c r="D19" s="109">
        <v>24</v>
      </c>
      <c r="E19" s="109">
        <v>83</v>
      </c>
      <c r="F19" s="109">
        <v>0</v>
      </c>
      <c r="G19" s="109">
        <v>0</v>
      </c>
      <c r="H19" s="25">
        <v>2475</v>
      </c>
      <c r="I19" s="109">
        <v>51</v>
      </c>
      <c r="J19" s="112">
        <v>2526</v>
      </c>
    </row>
    <row r="20" spans="1:10" x14ac:dyDescent="0.25">
      <c r="A20" s="14" t="s">
        <v>14</v>
      </c>
      <c r="B20" s="110">
        <v>3688</v>
      </c>
      <c r="C20" s="110">
        <v>1525</v>
      </c>
      <c r="D20" s="109">
        <v>50</v>
      </c>
      <c r="E20" s="109">
        <v>131</v>
      </c>
      <c r="F20" s="109">
        <v>0</v>
      </c>
      <c r="G20" s="109">
        <v>0</v>
      </c>
      <c r="H20" s="25">
        <v>5394</v>
      </c>
      <c r="I20" s="109">
        <v>62</v>
      </c>
      <c r="J20" s="112">
        <v>5456</v>
      </c>
    </row>
    <row r="21" spans="1:10" x14ac:dyDescent="0.25">
      <c r="A21" s="14" t="s">
        <v>15</v>
      </c>
      <c r="B21" s="110">
        <v>1081</v>
      </c>
      <c r="C21" s="109">
        <v>450</v>
      </c>
      <c r="D21" s="109">
        <v>0</v>
      </c>
      <c r="E21" s="109">
        <v>23</v>
      </c>
      <c r="F21" s="109">
        <v>0</v>
      </c>
      <c r="G21" s="109">
        <v>0</v>
      </c>
      <c r="H21" s="25">
        <v>1554</v>
      </c>
      <c r="I21" s="109">
        <v>0</v>
      </c>
      <c r="J21" s="112">
        <v>1554</v>
      </c>
    </row>
    <row r="22" spans="1:10" x14ac:dyDescent="0.25">
      <c r="A22" s="14" t="s">
        <v>52</v>
      </c>
      <c r="B22" s="109">
        <v>0</v>
      </c>
      <c r="C22" s="109">
        <v>0</v>
      </c>
      <c r="D22" s="109">
        <v>0</v>
      </c>
      <c r="E22" s="109">
        <v>0</v>
      </c>
      <c r="F22" s="109">
        <v>2</v>
      </c>
      <c r="G22" s="109">
        <v>0</v>
      </c>
      <c r="H22" s="26">
        <v>2</v>
      </c>
      <c r="I22" s="109">
        <v>0</v>
      </c>
      <c r="J22" s="111">
        <v>2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108"/>
    </row>
    <row r="24" spans="1:10" ht="24.95" customHeight="1" thickBot="1" x14ac:dyDescent="0.3">
      <c r="A24" s="16" t="s">
        <v>16</v>
      </c>
      <c r="B24" s="22">
        <f>SUM(B7:B22)</f>
        <v>44543</v>
      </c>
      <c r="C24" s="22">
        <f t="shared" ref="C24:J24" si="0">SUM(C7:C22)</f>
        <v>35282</v>
      </c>
      <c r="D24" s="22">
        <f t="shared" si="0"/>
        <v>14291</v>
      </c>
      <c r="E24" s="22">
        <f t="shared" si="0"/>
        <v>4229</v>
      </c>
      <c r="F24" s="22">
        <f t="shared" si="0"/>
        <v>14707</v>
      </c>
      <c r="G24" s="22">
        <f t="shared" si="0"/>
        <v>13995</v>
      </c>
      <c r="H24" s="22">
        <f t="shared" si="0"/>
        <v>127047</v>
      </c>
      <c r="I24" s="22">
        <f t="shared" si="0"/>
        <v>1301</v>
      </c>
      <c r="J24" s="22">
        <f t="shared" si="0"/>
        <v>128348</v>
      </c>
    </row>
    <row r="25" spans="1:10" x14ac:dyDescent="0.25">
      <c r="A25" s="14" t="s">
        <v>17</v>
      </c>
      <c r="B25" s="114">
        <v>2103</v>
      </c>
      <c r="C25" s="114">
        <v>1490</v>
      </c>
      <c r="D25" s="113">
        <v>362</v>
      </c>
      <c r="E25" s="113">
        <v>178</v>
      </c>
      <c r="F25" s="114">
        <v>1958</v>
      </c>
      <c r="G25" s="114">
        <v>1020</v>
      </c>
      <c r="H25" s="25">
        <v>7111</v>
      </c>
      <c r="I25" s="113">
        <v>81</v>
      </c>
      <c r="J25" s="116">
        <v>7192</v>
      </c>
    </row>
    <row r="26" spans="1:10" x14ac:dyDescent="0.25">
      <c r="A26" s="14" t="s">
        <v>18</v>
      </c>
      <c r="B26" s="114">
        <v>7723</v>
      </c>
      <c r="C26" s="114">
        <v>5582</v>
      </c>
      <c r="D26" s="113">
        <v>924</v>
      </c>
      <c r="E26" s="113">
        <v>486</v>
      </c>
      <c r="F26" s="114">
        <v>4618</v>
      </c>
      <c r="G26" s="114">
        <v>3092</v>
      </c>
      <c r="H26" s="25">
        <v>22425</v>
      </c>
      <c r="I26" s="113">
        <v>147</v>
      </c>
      <c r="J26" s="116">
        <v>22572</v>
      </c>
    </row>
    <row r="27" spans="1:10" x14ac:dyDescent="0.25">
      <c r="A27" s="14" t="s">
        <v>19</v>
      </c>
      <c r="B27" s="114">
        <v>22692</v>
      </c>
      <c r="C27" s="114">
        <v>15733</v>
      </c>
      <c r="D27" s="114">
        <v>3883</v>
      </c>
      <c r="E27" s="114">
        <v>1147</v>
      </c>
      <c r="F27" s="114">
        <v>15501</v>
      </c>
      <c r="G27" s="114">
        <v>8681</v>
      </c>
      <c r="H27" s="25">
        <v>67637</v>
      </c>
      <c r="I27" s="113">
        <v>709</v>
      </c>
      <c r="J27" s="116">
        <v>68346</v>
      </c>
    </row>
    <row r="28" spans="1:10" x14ac:dyDescent="0.25">
      <c r="A28" s="14" t="s">
        <v>20</v>
      </c>
      <c r="B28" s="114">
        <v>40618</v>
      </c>
      <c r="C28" s="114">
        <v>19875</v>
      </c>
      <c r="D28" s="114">
        <v>11446</v>
      </c>
      <c r="E28" s="114">
        <v>1902</v>
      </c>
      <c r="F28" s="114">
        <v>19171</v>
      </c>
      <c r="G28" s="114">
        <v>12563</v>
      </c>
      <c r="H28" s="25">
        <v>105575</v>
      </c>
      <c r="I28" s="114">
        <v>1252</v>
      </c>
      <c r="J28" s="116">
        <v>106827</v>
      </c>
    </row>
    <row r="29" spans="1:10" x14ac:dyDescent="0.25">
      <c r="A29" s="14" t="s">
        <v>21</v>
      </c>
      <c r="B29" s="114">
        <v>65092</v>
      </c>
      <c r="C29" s="114">
        <v>26945</v>
      </c>
      <c r="D29" s="114">
        <v>15270</v>
      </c>
      <c r="E29" s="114">
        <v>5403</v>
      </c>
      <c r="F29" s="114">
        <v>19203</v>
      </c>
      <c r="G29" s="114">
        <v>9629</v>
      </c>
      <c r="H29" s="25">
        <v>141542</v>
      </c>
      <c r="I29" s="114">
        <v>1807</v>
      </c>
      <c r="J29" s="116">
        <v>143349</v>
      </c>
    </row>
    <row r="30" spans="1:10" x14ac:dyDescent="0.25">
      <c r="A30" s="14" t="s">
        <v>22</v>
      </c>
      <c r="B30" s="114">
        <v>95637</v>
      </c>
      <c r="C30" s="114">
        <v>60649</v>
      </c>
      <c r="D30" s="114">
        <v>9047</v>
      </c>
      <c r="E30" s="114">
        <v>7026</v>
      </c>
      <c r="F30" s="114">
        <v>15189</v>
      </c>
      <c r="G30" s="114">
        <v>14836</v>
      </c>
      <c r="H30" s="25">
        <v>202384</v>
      </c>
      <c r="I30" s="114">
        <v>2291</v>
      </c>
      <c r="J30" s="116">
        <v>204675</v>
      </c>
    </row>
    <row r="31" spans="1:10" x14ac:dyDescent="0.25">
      <c r="A31" s="14" t="s">
        <v>23</v>
      </c>
      <c r="B31" s="114">
        <v>40289</v>
      </c>
      <c r="C31" s="114">
        <v>18310</v>
      </c>
      <c r="D31" s="114">
        <v>5207</v>
      </c>
      <c r="E31" s="114">
        <v>13854</v>
      </c>
      <c r="F31" s="114">
        <v>13204</v>
      </c>
      <c r="G31" s="114">
        <v>4201</v>
      </c>
      <c r="H31" s="25">
        <v>95065</v>
      </c>
      <c r="I31" s="113">
        <v>431</v>
      </c>
      <c r="J31" s="116">
        <v>95496</v>
      </c>
    </row>
    <row r="32" spans="1:10" x14ac:dyDescent="0.25">
      <c r="A32" s="14" t="s">
        <v>24</v>
      </c>
      <c r="B32" s="114">
        <v>19387</v>
      </c>
      <c r="C32" s="114">
        <v>6730</v>
      </c>
      <c r="D32" s="114">
        <v>1363</v>
      </c>
      <c r="E32" s="114">
        <v>3924</v>
      </c>
      <c r="F32" s="113">
        <v>556</v>
      </c>
      <c r="G32" s="114">
        <v>1189</v>
      </c>
      <c r="H32" s="25">
        <v>33149</v>
      </c>
      <c r="I32" s="113">
        <v>2</v>
      </c>
      <c r="J32" s="116">
        <v>33151</v>
      </c>
    </row>
    <row r="33" spans="1:10" x14ac:dyDescent="0.25">
      <c r="A33" s="14" t="s">
        <v>25</v>
      </c>
      <c r="B33" s="114">
        <v>18282</v>
      </c>
      <c r="C33" s="114">
        <v>8153</v>
      </c>
      <c r="D33" s="113">
        <v>900</v>
      </c>
      <c r="E33" s="114">
        <v>2027</v>
      </c>
      <c r="F33" s="114">
        <v>836</v>
      </c>
      <c r="G33" s="114">
        <v>1441</v>
      </c>
      <c r="H33" s="25">
        <v>31639</v>
      </c>
      <c r="I33" s="113">
        <v>0</v>
      </c>
      <c r="J33" s="116">
        <v>31639</v>
      </c>
    </row>
    <row r="34" spans="1:10" x14ac:dyDescent="0.25">
      <c r="A34" s="14" t="s">
        <v>53</v>
      </c>
      <c r="B34" s="113">
        <v>0</v>
      </c>
      <c r="C34" s="113">
        <v>0</v>
      </c>
      <c r="D34" s="113">
        <v>0</v>
      </c>
      <c r="E34" s="113">
        <v>0</v>
      </c>
      <c r="F34" s="113">
        <v>1</v>
      </c>
      <c r="G34" s="113">
        <v>3</v>
      </c>
      <c r="H34" s="26">
        <v>4</v>
      </c>
      <c r="I34" s="113">
        <v>0</v>
      </c>
      <c r="J34" s="115">
        <v>4</v>
      </c>
    </row>
    <row r="35" spans="1:10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107" t="s">
        <v>29</v>
      </c>
    </row>
    <row r="36" spans="1:10" ht="24.95" customHeight="1" thickBot="1" x14ac:dyDescent="0.3">
      <c r="A36" s="16" t="s">
        <v>26</v>
      </c>
      <c r="B36" s="22">
        <f>SUM(B25:B34)</f>
        <v>311823</v>
      </c>
      <c r="C36" s="22">
        <f t="shared" ref="C36:J36" si="1">SUM(C25:C34)</f>
        <v>163467</v>
      </c>
      <c r="D36" s="22">
        <f t="shared" si="1"/>
        <v>48402</v>
      </c>
      <c r="E36" s="22">
        <f t="shared" si="1"/>
        <v>35947</v>
      </c>
      <c r="F36" s="22">
        <f t="shared" si="1"/>
        <v>90237</v>
      </c>
      <c r="G36" s="22">
        <f t="shared" si="1"/>
        <v>56655</v>
      </c>
      <c r="H36" s="22">
        <f t="shared" si="1"/>
        <v>706531</v>
      </c>
      <c r="I36" s="22">
        <f t="shared" si="1"/>
        <v>6720</v>
      </c>
      <c r="J36" s="22">
        <f t="shared" si="1"/>
        <v>713251</v>
      </c>
    </row>
    <row r="37" spans="1:10" ht="30" customHeight="1" thickTop="1" thickBot="1" x14ac:dyDescent="0.3">
      <c r="A37" s="7" t="s">
        <v>27</v>
      </c>
      <c r="B37" s="23">
        <f>SUM(B24,B36)</f>
        <v>356366</v>
      </c>
      <c r="C37" s="23">
        <f t="shared" ref="C37:J37" si="2">SUM(C24,C36)</f>
        <v>198749</v>
      </c>
      <c r="D37" s="23">
        <f t="shared" si="2"/>
        <v>62693</v>
      </c>
      <c r="E37" s="23">
        <f t="shared" si="2"/>
        <v>40176</v>
      </c>
      <c r="F37" s="23">
        <f t="shared" si="2"/>
        <v>104944</v>
      </c>
      <c r="G37" s="23">
        <f t="shared" si="2"/>
        <v>70650</v>
      </c>
      <c r="H37" s="23">
        <f t="shared" si="2"/>
        <v>833578</v>
      </c>
      <c r="I37" s="23">
        <f t="shared" si="2"/>
        <v>8021</v>
      </c>
      <c r="J37" s="23">
        <f t="shared" si="2"/>
        <v>841599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4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="90" zoomScaleNormal="90" workbookViewId="0">
      <selection activeCell="A3" sqref="A3:J3"/>
    </sheetView>
  </sheetViews>
  <sheetFormatPr defaultRowHeight="15" x14ac:dyDescent="0.25"/>
  <cols>
    <col min="1" max="1" width="40.85546875" bestFit="1" customWidth="1"/>
    <col min="2" max="10" width="15.7109375" customWidth="1"/>
  </cols>
  <sheetData>
    <row r="1" spans="1:10" ht="19.5" thickTop="1" x14ac:dyDescent="0.3">
      <c r="A1" s="125" t="s">
        <v>28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ht="18.75" x14ac:dyDescent="0.3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8.75" x14ac:dyDescent="0.3">
      <c r="A3" s="131" t="s">
        <v>51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9.5" thickBot="1" x14ac:dyDescent="0.35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0" ht="15.75" thickBot="1" x14ac:dyDescent="0.3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30.75" thickBot="1" x14ac:dyDescent="0.3">
      <c r="A6" s="12" t="s">
        <v>0</v>
      </c>
      <c r="B6" s="10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7" t="s">
        <v>36</v>
      </c>
      <c r="H6" s="21" t="s">
        <v>37</v>
      </c>
      <c r="I6" s="20" t="s">
        <v>38</v>
      </c>
      <c r="J6" s="13" t="s">
        <v>39</v>
      </c>
    </row>
    <row r="7" spans="1:10" ht="15.75" thickTop="1" x14ac:dyDescent="0.25">
      <c r="A7" s="14" t="s">
        <v>1</v>
      </c>
      <c r="B7" s="117">
        <v>1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26">
        <v>1</v>
      </c>
      <c r="I7" s="117">
        <v>0</v>
      </c>
      <c r="J7" s="119">
        <v>1</v>
      </c>
    </row>
    <row r="8" spans="1:10" x14ac:dyDescent="0.25">
      <c r="A8" s="14" t="s">
        <v>2</v>
      </c>
      <c r="B8" s="117">
        <v>1</v>
      </c>
      <c r="C8" s="117">
        <v>0</v>
      </c>
      <c r="D8" s="117">
        <v>0</v>
      </c>
      <c r="E8" s="117">
        <v>0</v>
      </c>
      <c r="F8" s="117">
        <v>4</v>
      </c>
      <c r="G8" s="117">
        <v>0</v>
      </c>
      <c r="H8" s="26">
        <v>5</v>
      </c>
      <c r="I8" s="117">
        <v>0</v>
      </c>
      <c r="J8" s="119">
        <v>5</v>
      </c>
    </row>
    <row r="9" spans="1:10" x14ac:dyDescent="0.25">
      <c r="A9" s="14" t="s">
        <v>3</v>
      </c>
      <c r="B9" s="117">
        <v>66</v>
      </c>
      <c r="C9" s="117">
        <v>39</v>
      </c>
      <c r="D9" s="117">
        <v>16</v>
      </c>
      <c r="E9" s="117">
        <v>5</v>
      </c>
      <c r="F9" s="117">
        <v>33</v>
      </c>
      <c r="G9" s="117">
        <v>27</v>
      </c>
      <c r="H9" s="26">
        <v>186</v>
      </c>
      <c r="I9" s="117">
        <v>2</v>
      </c>
      <c r="J9" s="119">
        <v>188</v>
      </c>
    </row>
    <row r="10" spans="1:10" x14ac:dyDescent="0.25">
      <c r="A10" s="14" t="s">
        <v>4</v>
      </c>
      <c r="B10" s="117">
        <v>158</v>
      </c>
      <c r="C10" s="117">
        <v>69</v>
      </c>
      <c r="D10" s="117">
        <v>33</v>
      </c>
      <c r="E10" s="117">
        <v>7</v>
      </c>
      <c r="F10" s="117">
        <v>112</v>
      </c>
      <c r="G10" s="117">
        <v>56</v>
      </c>
      <c r="H10" s="26">
        <v>435</v>
      </c>
      <c r="I10" s="117">
        <v>1</v>
      </c>
      <c r="J10" s="119">
        <v>436</v>
      </c>
    </row>
    <row r="11" spans="1:10" x14ac:dyDescent="0.25">
      <c r="A11" s="14" t="s">
        <v>5</v>
      </c>
      <c r="B11" s="118">
        <v>1469</v>
      </c>
      <c r="C11" s="118">
        <v>1790</v>
      </c>
      <c r="D11" s="118">
        <v>1327</v>
      </c>
      <c r="E11" s="117">
        <v>314</v>
      </c>
      <c r="F11" s="118">
        <v>1015</v>
      </c>
      <c r="G11" s="118">
        <v>1137</v>
      </c>
      <c r="H11" s="25">
        <v>7052</v>
      </c>
      <c r="I11" s="117">
        <v>48</v>
      </c>
      <c r="J11" s="120">
        <v>7100</v>
      </c>
    </row>
    <row r="12" spans="1:10" x14ac:dyDescent="0.25">
      <c r="A12" s="14" t="s">
        <v>6</v>
      </c>
      <c r="B12" s="118">
        <v>3685</v>
      </c>
      <c r="C12" s="118">
        <v>5455</v>
      </c>
      <c r="D12" s="118">
        <v>3201</v>
      </c>
      <c r="E12" s="117">
        <v>900</v>
      </c>
      <c r="F12" s="118">
        <v>3997</v>
      </c>
      <c r="G12" s="118">
        <v>4227</v>
      </c>
      <c r="H12" s="25">
        <v>21465</v>
      </c>
      <c r="I12" s="117">
        <v>194</v>
      </c>
      <c r="J12" s="120">
        <v>21659</v>
      </c>
    </row>
    <row r="13" spans="1:10" x14ac:dyDescent="0.25">
      <c r="A13" s="14" t="s">
        <v>7</v>
      </c>
      <c r="B13" s="118">
        <v>6738</v>
      </c>
      <c r="C13" s="118">
        <v>6891</v>
      </c>
      <c r="D13" s="118">
        <v>4426</v>
      </c>
      <c r="E13" s="118">
        <v>1048</v>
      </c>
      <c r="F13" s="118">
        <v>4085</v>
      </c>
      <c r="G13" s="118">
        <v>4741</v>
      </c>
      <c r="H13" s="25">
        <v>27929</v>
      </c>
      <c r="I13" s="117">
        <v>276</v>
      </c>
      <c r="J13" s="120">
        <v>28205</v>
      </c>
    </row>
    <row r="14" spans="1:10" x14ac:dyDescent="0.25">
      <c r="A14" s="14" t="s">
        <v>8</v>
      </c>
      <c r="B14" s="118">
        <v>10401</v>
      </c>
      <c r="C14" s="118">
        <v>10481</v>
      </c>
      <c r="D14" s="118">
        <v>3485</v>
      </c>
      <c r="E14" s="118">
        <v>1039</v>
      </c>
      <c r="F14" s="118">
        <v>3247</v>
      </c>
      <c r="G14" s="118">
        <v>2993</v>
      </c>
      <c r="H14" s="25">
        <v>31646</v>
      </c>
      <c r="I14" s="117">
        <v>488</v>
      </c>
      <c r="J14" s="120">
        <v>32134</v>
      </c>
    </row>
    <row r="15" spans="1:10" x14ac:dyDescent="0.25">
      <c r="A15" s="14" t="s">
        <v>9</v>
      </c>
      <c r="B15" s="118">
        <v>8044</v>
      </c>
      <c r="C15" s="118">
        <v>4361</v>
      </c>
      <c r="D15" s="118">
        <v>1090</v>
      </c>
      <c r="E15" s="117">
        <v>213</v>
      </c>
      <c r="F15" s="118">
        <v>1140</v>
      </c>
      <c r="G15" s="117">
        <v>564</v>
      </c>
      <c r="H15" s="25">
        <v>15412</v>
      </c>
      <c r="I15" s="117">
        <v>78</v>
      </c>
      <c r="J15" s="120">
        <v>15490</v>
      </c>
    </row>
    <row r="16" spans="1:10" x14ac:dyDescent="0.25">
      <c r="A16" s="14" t="s">
        <v>10</v>
      </c>
      <c r="B16" s="118">
        <v>6038</v>
      </c>
      <c r="C16" s="118">
        <v>2914</v>
      </c>
      <c r="D16" s="117">
        <v>655</v>
      </c>
      <c r="E16" s="117">
        <v>295</v>
      </c>
      <c r="F16" s="118">
        <v>1095</v>
      </c>
      <c r="G16" s="117">
        <v>315</v>
      </c>
      <c r="H16" s="25">
        <v>11312</v>
      </c>
      <c r="I16" s="117">
        <v>73</v>
      </c>
      <c r="J16" s="120">
        <v>11385</v>
      </c>
    </row>
    <row r="17" spans="1:10" x14ac:dyDescent="0.25">
      <c r="A17" s="14" t="s">
        <v>11</v>
      </c>
      <c r="B17" s="117">
        <v>385</v>
      </c>
      <c r="C17" s="117">
        <v>82</v>
      </c>
      <c r="D17" s="117">
        <v>1</v>
      </c>
      <c r="E17" s="117">
        <v>14</v>
      </c>
      <c r="F17" s="117">
        <v>0</v>
      </c>
      <c r="G17" s="117">
        <v>0</v>
      </c>
      <c r="H17" s="26">
        <v>482</v>
      </c>
      <c r="I17" s="117">
        <v>0</v>
      </c>
      <c r="J17" s="119">
        <v>482</v>
      </c>
    </row>
    <row r="18" spans="1:10" x14ac:dyDescent="0.25">
      <c r="A18" s="14" t="s">
        <v>12</v>
      </c>
      <c r="B18" s="118">
        <v>1444</v>
      </c>
      <c r="C18" s="117">
        <v>614</v>
      </c>
      <c r="D18" s="117">
        <v>11</v>
      </c>
      <c r="E18" s="117">
        <v>37</v>
      </c>
      <c r="F18" s="117">
        <v>0</v>
      </c>
      <c r="G18" s="117">
        <v>0</v>
      </c>
      <c r="H18" s="25">
        <v>2106</v>
      </c>
      <c r="I18" s="117">
        <v>29</v>
      </c>
      <c r="J18" s="120">
        <v>2135</v>
      </c>
    </row>
    <row r="19" spans="1:10" x14ac:dyDescent="0.25">
      <c r="A19" s="14" t="s">
        <v>13</v>
      </c>
      <c r="B19" s="118">
        <v>1843</v>
      </c>
      <c r="C19" s="117">
        <v>594</v>
      </c>
      <c r="D19" s="117">
        <v>24</v>
      </c>
      <c r="E19" s="117">
        <v>81</v>
      </c>
      <c r="F19" s="117">
        <v>0</v>
      </c>
      <c r="G19" s="117">
        <v>0</v>
      </c>
      <c r="H19" s="25">
        <v>2542</v>
      </c>
      <c r="I19" s="117">
        <v>54</v>
      </c>
      <c r="J19" s="120">
        <v>2596</v>
      </c>
    </row>
    <row r="20" spans="1:10" x14ac:dyDescent="0.25">
      <c r="A20" s="14" t="s">
        <v>14</v>
      </c>
      <c r="B20" s="118">
        <v>3686</v>
      </c>
      <c r="C20" s="118">
        <v>1512</v>
      </c>
      <c r="D20" s="117">
        <v>50</v>
      </c>
      <c r="E20" s="117">
        <v>123</v>
      </c>
      <c r="F20" s="117">
        <v>0</v>
      </c>
      <c r="G20" s="117">
        <v>0</v>
      </c>
      <c r="H20" s="25">
        <v>5371</v>
      </c>
      <c r="I20" s="117">
        <v>62</v>
      </c>
      <c r="J20" s="120">
        <v>5433</v>
      </c>
    </row>
    <row r="21" spans="1:10" x14ac:dyDescent="0.25">
      <c r="A21" s="14" t="s">
        <v>15</v>
      </c>
      <c r="B21" s="118">
        <v>1106</v>
      </c>
      <c r="C21" s="117">
        <v>448</v>
      </c>
      <c r="D21" s="117">
        <v>0</v>
      </c>
      <c r="E21" s="117">
        <v>24</v>
      </c>
      <c r="F21" s="117">
        <v>0</v>
      </c>
      <c r="G21" s="117">
        <v>0</v>
      </c>
      <c r="H21" s="25">
        <v>1578</v>
      </c>
      <c r="I21" s="117">
        <v>0</v>
      </c>
      <c r="J21" s="120">
        <v>1578</v>
      </c>
    </row>
    <row r="22" spans="1:10" x14ac:dyDescent="0.25">
      <c r="A22" s="14" t="s">
        <v>52</v>
      </c>
      <c r="B22" s="117">
        <v>0</v>
      </c>
      <c r="C22" s="117">
        <v>0</v>
      </c>
      <c r="D22" s="117">
        <v>0</v>
      </c>
      <c r="E22" s="117">
        <v>0</v>
      </c>
      <c r="F22" s="117">
        <v>3</v>
      </c>
      <c r="G22" s="117">
        <v>0</v>
      </c>
      <c r="H22" s="26">
        <v>3</v>
      </c>
      <c r="I22" s="117">
        <v>0</v>
      </c>
      <c r="J22" s="119">
        <v>3</v>
      </c>
    </row>
    <row r="23" spans="1:10" ht="15.75" thickBot="1" x14ac:dyDescent="0.3">
      <c r="A23" s="15"/>
      <c r="B23" s="3"/>
      <c r="C23" s="4"/>
      <c r="D23" s="4"/>
      <c r="E23" s="4"/>
      <c r="F23" s="4"/>
      <c r="G23" s="18"/>
      <c r="H23" s="25"/>
      <c r="I23" s="3"/>
      <c r="J23" s="116"/>
    </row>
    <row r="24" spans="1:10" ht="24.95" customHeight="1" thickBot="1" x14ac:dyDescent="0.3">
      <c r="A24" s="16" t="s">
        <v>16</v>
      </c>
      <c r="B24" s="22">
        <f>SUM(B7:B22)</f>
        <v>45065</v>
      </c>
      <c r="C24" s="22">
        <f t="shared" ref="C24:J24" si="0">SUM(C7:C22)</f>
        <v>35250</v>
      </c>
      <c r="D24" s="22">
        <f t="shared" si="0"/>
        <v>14319</v>
      </c>
      <c r="E24" s="22">
        <f t="shared" si="0"/>
        <v>4100</v>
      </c>
      <c r="F24" s="22">
        <f t="shared" si="0"/>
        <v>14731</v>
      </c>
      <c r="G24" s="22">
        <f t="shared" si="0"/>
        <v>14060</v>
      </c>
      <c r="H24" s="22">
        <f t="shared" si="0"/>
        <v>127525</v>
      </c>
      <c r="I24" s="22">
        <f t="shared" si="0"/>
        <v>1305</v>
      </c>
      <c r="J24" s="22">
        <f t="shared" si="0"/>
        <v>128830</v>
      </c>
    </row>
    <row r="25" spans="1:10" x14ac:dyDescent="0.25">
      <c r="A25" s="14" t="s">
        <v>17</v>
      </c>
      <c r="B25" s="122">
        <v>2102</v>
      </c>
      <c r="C25" s="122">
        <v>1476</v>
      </c>
      <c r="D25" s="121">
        <v>368</v>
      </c>
      <c r="E25" s="121">
        <v>172</v>
      </c>
      <c r="F25" s="122">
        <v>1950</v>
      </c>
      <c r="G25" s="122">
        <v>1016</v>
      </c>
      <c r="H25" s="25">
        <v>7084</v>
      </c>
      <c r="I25" s="121">
        <v>78</v>
      </c>
      <c r="J25" s="124">
        <v>7162</v>
      </c>
    </row>
    <row r="26" spans="1:10" x14ac:dyDescent="0.25">
      <c r="A26" s="14" t="s">
        <v>18</v>
      </c>
      <c r="B26" s="122">
        <v>7724</v>
      </c>
      <c r="C26" s="122">
        <v>5723</v>
      </c>
      <c r="D26" s="121">
        <v>939</v>
      </c>
      <c r="E26" s="121">
        <v>478</v>
      </c>
      <c r="F26" s="122">
        <v>4607</v>
      </c>
      <c r="G26" s="122">
        <v>3096</v>
      </c>
      <c r="H26" s="25">
        <v>22567</v>
      </c>
      <c r="I26" s="121">
        <v>141</v>
      </c>
      <c r="J26" s="124">
        <v>22708</v>
      </c>
    </row>
    <row r="27" spans="1:10" x14ac:dyDescent="0.25">
      <c r="A27" s="14" t="s">
        <v>19</v>
      </c>
      <c r="B27" s="122">
        <v>22654</v>
      </c>
      <c r="C27" s="122">
        <v>15371</v>
      </c>
      <c r="D27" s="122">
        <v>3859</v>
      </c>
      <c r="E27" s="122">
        <v>1113</v>
      </c>
      <c r="F27" s="122">
        <v>15455</v>
      </c>
      <c r="G27" s="122">
        <v>8692</v>
      </c>
      <c r="H27" s="25">
        <v>67144</v>
      </c>
      <c r="I27" s="121">
        <v>699</v>
      </c>
      <c r="J27" s="124">
        <v>67843</v>
      </c>
    </row>
    <row r="28" spans="1:10" x14ac:dyDescent="0.25">
      <c r="A28" s="14" t="s">
        <v>20</v>
      </c>
      <c r="B28" s="122">
        <v>40428</v>
      </c>
      <c r="C28" s="122">
        <v>20059</v>
      </c>
      <c r="D28" s="122">
        <v>11410</v>
      </c>
      <c r="E28" s="122">
        <v>1865</v>
      </c>
      <c r="F28" s="122">
        <v>19216</v>
      </c>
      <c r="G28" s="122">
        <v>12545</v>
      </c>
      <c r="H28" s="25">
        <v>105523</v>
      </c>
      <c r="I28" s="122">
        <v>1274</v>
      </c>
      <c r="J28" s="124">
        <v>106797</v>
      </c>
    </row>
    <row r="29" spans="1:10" x14ac:dyDescent="0.25">
      <c r="A29" s="14" t="s">
        <v>21</v>
      </c>
      <c r="B29" s="122">
        <v>65367</v>
      </c>
      <c r="C29" s="122">
        <v>26922</v>
      </c>
      <c r="D29" s="122">
        <v>15122</v>
      </c>
      <c r="E29" s="122">
        <v>5222</v>
      </c>
      <c r="F29" s="122">
        <v>19298</v>
      </c>
      <c r="G29" s="122">
        <v>9671</v>
      </c>
      <c r="H29" s="25">
        <v>141602</v>
      </c>
      <c r="I29" s="122">
        <v>1796</v>
      </c>
      <c r="J29" s="124">
        <v>143398</v>
      </c>
    </row>
    <row r="30" spans="1:10" x14ac:dyDescent="0.25">
      <c r="A30" s="14" t="s">
        <v>22</v>
      </c>
      <c r="B30" s="122">
        <v>95579</v>
      </c>
      <c r="C30" s="122">
        <v>60076</v>
      </c>
      <c r="D30" s="122">
        <v>9009</v>
      </c>
      <c r="E30" s="122">
        <v>6935</v>
      </c>
      <c r="F30" s="122">
        <v>15512</v>
      </c>
      <c r="G30" s="122">
        <v>15017</v>
      </c>
      <c r="H30" s="25">
        <v>202128</v>
      </c>
      <c r="I30" s="122">
        <v>2309</v>
      </c>
      <c r="J30" s="124">
        <v>204437</v>
      </c>
    </row>
    <row r="31" spans="1:10" x14ac:dyDescent="0.25">
      <c r="A31" s="14" t="s">
        <v>23</v>
      </c>
      <c r="B31" s="122">
        <v>40213</v>
      </c>
      <c r="C31" s="122">
        <v>18228</v>
      </c>
      <c r="D31" s="122">
        <v>5116</v>
      </c>
      <c r="E31" s="122">
        <v>14189</v>
      </c>
      <c r="F31" s="122">
        <v>13507</v>
      </c>
      <c r="G31" s="122">
        <v>4174</v>
      </c>
      <c r="H31" s="25">
        <v>95427</v>
      </c>
      <c r="I31" s="121">
        <v>396</v>
      </c>
      <c r="J31" s="124">
        <v>95823</v>
      </c>
    </row>
    <row r="32" spans="1:10" x14ac:dyDescent="0.25">
      <c r="A32" s="14" t="s">
        <v>24</v>
      </c>
      <c r="B32" s="122">
        <v>19585</v>
      </c>
      <c r="C32" s="122">
        <v>6683</v>
      </c>
      <c r="D32" s="122">
        <v>1390</v>
      </c>
      <c r="E32" s="122">
        <v>3705</v>
      </c>
      <c r="F32" s="121">
        <v>550</v>
      </c>
      <c r="G32" s="122">
        <v>1197</v>
      </c>
      <c r="H32" s="25">
        <v>33110</v>
      </c>
      <c r="I32" s="121">
        <v>2</v>
      </c>
      <c r="J32" s="124">
        <v>33112</v>
      </c>
    </row>
    <row r="33" spans="1:10" x14ac:dyDescent="0.25">
      <c r="A33" s="14" t="s">
        <v>25</v>
      </c>
      <c r="B33" s="122">
        <v>19017</v>
      </c>
      <c r="C33" s="122">
        <v>8421</v>
      </c>
      <c r="D33" s="121">
        <v>911</v>
      </c>
      <c r="E33" s="122">
        <v>1722</v>
      </c>
      <c r="F33" s="122">
        <v>879</v>
      </c>
      <c r="G33" s="122">
        <v>1439</v>
      </c>
      <c r="H33" s="25">
        <v>32389</v>
      </c>
      <c r="I33" s="121">
        <v>0</v>
      </c>
      <c r="J33" s="124">
        <v>32389</v>
      </c>
    </row>
    <row r="34" spans="1:10" x14ac:dyDescent="0.25">
      <c r="A34" s="14" t="s">
        <v>53</v>
      </c>
      <c r="B34" s="121">
        <v>1</v>
      </c>
      <c r="C34" s="121">
        <v>0</v>
      </c>
      <c r="D34" s="121">
        <v>0</v>
      </c>
      <c r="E34" s="121">
        <v>0</v>
      </c>
      <c r="F34" s="121">
        <v>3</v>
      </c>
      <c r="G34" s="121">
        <v>6</v>
      </c>
      <c r="H34" s="26">
        <v>10</v>
      </c>
      <c r="I34" s="121">
        <v>0</v>
      </c>
      <c r="J34" s="123">
        <v>10</v>
      </c>
    </row>
    <row r="35" spans="1:10" ht="15.75" thickBot="1" x14ac:dyDescent="0.3">
      <c r="A35" s="14"/>
      <c r="B35" s="5"/>
      <c r="C35" s="6"/>
      <c r="D35" s="6"/>
      <c r="E35" s="6"/>
      <c r="F35" s="6"/>
      <c r="G35" s="19"/>
      <c r="H35" s="26" t="s">
        <v>29</v>
      </c>
      <c r="I35" s="5"/>
      <c r="J35" s="115" t="s">
        <v>29</v>
      </c>
    </row>
    <row r="36" spans="1:10" ht="24.95" customHeight="1" thickBot="1" x14ac:dyDescent="0.3">
      <c r="A36" s="16" t="s">
        <v>26</v>
      </c>
      <c r="B36" s="22">
        <f>SUM(B25:B34)</f>
        <v>312670</v>
      </c>
      <c r="C36" s="22">
        <f t="shared" ref="C36:J36" si="1">SUM(C25:C34)</f>
        <v>162959</v>
      </c>
      <c r="D36" s="22">
        <f t="shared" si="1"/>
        <v>48124</v>
      </c>
      <c r="E36" s="22">
        <f t="shared" si="1"/>
        <v>35401</v>
      </c>
      <c r="F36" s="22">
        <f t="shared" si="1"/>
        <v>90977</v>
      </c>
      <c r="G36" s="22">
        <f t="shared" si="1"/>
        <v>56853</v>
      </c>
      <c r="H36" s="22">
        <f t="shared" si="1"/>
        <v>706984</v>
      </c>
      <c r="I36" s="22">
        <f t="shared" si="1"/>
        <v>6695</v>
      </c>
      <c r="J36" s="22">
        <f t="shared" si="1"/>
        <v>713679</v>
      </c>
    </row>
    <row r="37" spans="1:10" ht="30" customHeight="1" thickTop="1" thickBot="1" x14ac:dyDescent="0.3">
      <c r="A37" s="7" t="s">
        <v>27</v>
      </c>
      <c r="B37" s="23">
        <f>SUM(B24,B36)</f>
        <v>357735</v>
      </c>
      <c r="C37" s="23">
        <f t="shared" ref="C37:J37" si="2">SUM(C24,C36)</f>
        <v>198209</v>
      </c>
      <c r="D37" s="23">
        <f t="shared" si="2"/>
        <v>62443</v>
      </c>
      <c r="E37" s="23">
        <f t="shared" si="2"/>
        <v>39501</v>
      </c>
      <c r="F37" s="23">
        <f t="shared" si="2"/>
        <v>105708</v>
      </c>
      <c r="G37" s="23">
        <f t="shared" si="2"/>
        <v>70913</v>
      </c>
      <c r="H37" s="23">
        <f t="shared" si="2"/>
        <v>834509</v>
      </c>
      <c r="I37" s="23">
        <f t="shared" si="2"/>
        <v>8000</v>
      </c>
      <c r="J37" s="23">
        <f t="shared" si="2"/>
        <v>842509</v>
      </c>
    </row>
    <row r="38" spans="1:10" ht="15.75" thickTop="1" x14ac:dyDescent="0.25"/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10-2012</vt:lpstr>
      <vt:lpstr>11-2012</vt:lpstr>
      <vt:lpstr>12-2012</vt:lpstr>
      <vt:lpstr>01-2013</vt:lpstr>
      <vt:lpstr>02-2013</vt:lpstr>
      <vt:lpstr>03-2013</vt:lpstr>
      <vt:lpstr>04-2013</vt:lpstr>
      <vt:lpstr>05-2013</vt:lpstr>
      <vt:lpstr>06-2013</vt:lpstr>
      <vt:lpstr>07-2013</vt:lpstr>
      <vt:lpstr>08-2013</vt:lpstr>
      <vt:lpstr>09-2013</vt:lpstr>
      <vt:lpstr>'10-2012'!Print_Area</vt:lpstr>
    </vt:vector>
  </TitlesOfParts>
  <Company>Defense Manpower Data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Man K CIV DMDC</dc:creator>
  <cp:lastModifiedBy>Seggerman, Scott L CIV DMDC</cp:lastModifiedBy>
  <cp:lastPrinted>2014-10-03T18:03:32Z</cp:lastPrinted>
  <dcterms:created xsi:type="dcterms:W3CDTF">2012-07-23T22:14:11Z</dcterms:created>
  <dcterms:modified xsi:type="dcterms:W3CDTF">2017-01-25T19:06:27Z</dcterms:modified>
</cp:coreProperties>
</file>