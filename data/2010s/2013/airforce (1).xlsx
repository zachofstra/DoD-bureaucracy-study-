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3\"/>
    </mc:Choice>
  </mc:AlternateContent>
  <xr:revisionPtr revIDLastSave="0" documentId="8_{9CB948D2-47D8-4ED1-8D35-187DA6E2D1B3}" xr6:coauthVersionLast="47" xr6:coauthVersionMax="47" xr10:uidLastSave="{00000000-0000-0000-0000-000000000000}"/>
  <bookViews>
    <workbookView xWindow="5460" yWindow="2430" windowWidth="21600" windowHeight="11295" tabRatio="232" xr2:uid="{00000000-000D-0000-FFFF-FFFF00000000}"/>
  </bookViews>
  <sheets>
    <sheet name="113SF" sheetId="1" r:id="rId1"/>
  </sheets>
  <externalReferences>
    <externalReference r:id="rId2"/>
    <externalReference r:id="rId3"/>
    <externalReference r:id="rId4"/>
  </externalReferences>
  <definedNames>
    <definedName name="_xlnm.Print_Area" localSheetId="0">'113SF'!$A$1:$F$219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" l="1"/>
  <c r="F144" i="1"/>
  <c r="F143" i="1"/>
  <c r="F142" i="1"/>
  <c r="F141" i="1"/>
  <c r="E144" i="1"/>
  <c r="E143" i="1"/>
  <c r="E142" i="1"/>
  <c r="E141" i="1"/>
  <c r="E140" i="1"/>
  <c r="E139" i="1"/>
  <c r="E138" i="1"/>
  <c r="D144" i="1"/>
  <c r="D143" i="1"/>
  <c r="D142" i="1"/>
  <c r="D141" i="1"/>
  <c r="D140" i="1"/>
  <c r="D139" i="1"/>
  <c r="D138" i="1"/>
  <c r="D137" i="1"/>
  <c r="F140" i="1"/>
  <c r="F139" i="1"/>
  <c r="E137" i="1"/>
  <c r="C144" i="1"/>
  <c r="C143" i="1"/>
  <c r="C142" i="1"/>
  <c r="C141" i="1"/>
  <c r="C140" i="1"/>
  <c r="C139" i="1"/>
  <c r="F138" i="1"/>
  <c r="F137" i="1"/>
  <c r="E136" i="1"/>
  <c r="E135" i="1"/>
  <c r="F136" i="1"/>
  <c r="F135" i="1"/>
  <c r="C138" i="1"/>
  <c r="C137" i="1"/>
  <c r="D136" i="1"/>
  <c r="C136" i="1"/>
  <c r="D135" i="1"/>
  <c r="C135" i="1"/>
  <c r="B144" i="1"/>
  <c r="B143" i="1"/>
  <c r="B142" i="1"/>
  <c r="B141" i="1"/>
  <c r="B140" i="1"/>
  <c r="B139" i="1"/>
  <c r="B138" i="1"/>
  <c r="B137" i="1"/>
  <c r="B136" i="1"/>
  <c r="B135" i="1"/>
  <c r="F93" i="1"/>
  <c r="F92" i="1"/>
  <c r="F91" i="1"/>
  <c r="F90" i="1"/>
  <c r="E93" i="1"/>
  <c r="E92" i="1"/>
  <c r="E91" i="1"/>
  <c r="E90" i="1"/>
  <c r="E89" i="1"/>
  <c r="E88" i="1"/>
  <c r="E87" i="1"/>
  <c r="D93" i="1"/>
  <c r="D92" i="1"/>
  <c r="D91" i="1"/>
  <c r="D90" i="1"/>
  <c r="D89" i="1"/>
  <c r="D88" i="1"/>
  <c r="D87" i="1"/>
  <c r="D86" i="1"/>
  <c r="F89" i="1"/>
  <c r="F88" i="1"/>
  <c r="E86" i="1"/>
  <c r="C93" i="1"/>
  <c r="C92" i="1"/>
  <c r="C91" i="1"/>
  <c r="C90" i="1"/>
  <c r="C89" i="1"/>
  <c r="C88" i="1"/>
  <c r="F87" i="1"/>
  <c r="F86" i="1"/>
  <c r="E85" i="1"/>
  <c r="E84" i="1"/>
  <c r="F85" i="1"/>
  <c r="F84" i="1"/>
  <c r="C87" i="1"/>
  <c r="C86" i="1"/>
  <c r="D85" i="1"/>
  <c r="C85" i="1"/>
  <c r="D84" i="1"/>
  <c r="C84" i="1"/>
  <c r="B93" i="1"/>
  <c r="B92" i="1"/>
  <c r="B91" i="1"/>
  <c r="B90" i="1"/>
  <c r="B89" i="1"/>
  <c r="B88" i="1"/>
  <c r="B87" i="1"/>
  <c r="B86" i="1"/>
  <c r="B85" i="1"/>
  <c r="B84" i="1"/>
  <c r="F42" i="1"/>
  <c r="F41" i="1"/>
  <c r="F40" i="1"/>
  <c r="F39" i="1"/>
  <c r="E42" i="1"/>
  <c r="E41" i="1"/>
  <c r="E40" i="1"/>
  <c r="E39" i="1"/>
  <c r="E38" i="1"/>
  <c r="E37" i="1"/>
  <c r="E36" i="1"/>
  <c r="D42" i="1"/>
  <c r="D41" i="1"/>
  <c r="D40" i="1"/>
  <c r="D39" i="1"/>
  <c r="D38" i="1"/>
  <c r="D37" i="1"/>
  <c r="D36" i="1"/>
  <c r="D35" i="1"/>
  <c r="F38" i="1"/>
  <c r="F37" i="1"/>
  <c r="E35" i="1"/>
  <c r="C42" i="1"/>
  <c r="C41" i="1"/>
  <c r="C40" i="1"/>
  <c r="C39" i="1"/>
  <c r="C38" i="1"/>
  <c r="C37" i="1"/>
  <c r="F36" i="1"/>
  <c r="F35" i="1"/>
  <c r="E34" i="1"/>
  <c r="E33" i="1"/>
  <c r="F34" i="1"/>
  <c r="F33" i="1"/>
  <c r="C36" i="1"/>
  <c r="C35" i="1"/>
  <c r="D34" i="1"/>
  <c r="C34" i="1"/>
  <c r="D33" i="1"/>
  <c r="C33" i="1"/>
  <c r="B42" i="1"/>
  <c r="B41" i="1"/>
  <c r="B40" i="1"/>
  <c r="B39" i="1"/>
  <c r="B38" i="1"/>
  <c r="B37" i="1"/>
  <c r="B36" i="1"/>
  <c r="B35" i="1"/>
  <c r="B34" i="1"/>
  <c r="B33" i="1"/>
  <c r="E149" i="1"/>
  <c r="E148" i="1"/>
  <c r="E147" i="1"/>
  <c r="E146" i="1"/>
  <c r="D149" i="1"/>
  <c r="D148" i="1"/>
  <c r="D147" i="1"/>
  <c r="D146" i="1"/>
  <c r="C149" i="1"/>
  <c r="C148" i="1"/>
  <c r="C147" i="1"/>
  <c r="C146" i="1"/>
  <c r="B149" i="1"/>
  <c r="B148" i="1"/>
  <c r="B147" i="1"/>
  <c r="B146" i="1"/>
  <c r="E98" i="1"/>
  <c r="E97" i="1"/>
  <c r="E96" i="1"/>
  <c r="E95" i="1"/>
  <c r="D98" i="1"/>
  <c r="D97" i="1"/>
  <c r="D96" i="1"/>
  <c r="D95" i="1"/>
  <c r="C98" i="1"/>
  <c r="C97" i="1"/>
  <c r="C96" i="1"/>
  <c r="C95" i="1"/>
  <c r="B98" i="1"/>
  <c r="B97" i="1"/>
  <c r="B96" i="1"/>
  <c r="B95" i="1"/>
  <c r="E47" i="1"/>
  <c r="E46" i="1"/>
  <c r="E45" i="1"/>
  <c r="E44" i="1"/>
  <c r="D47" i="1"/>
  <c r="D46" i="1"/>
  <c r="D45" i="1"/>
  <c r="D44" i="1"/>
  <c r="C47" i="1"/>
  <c r="C46" i="1"/>
  <c r="C45" i="1"/>
  <c r="C44" i="1"/>
  <c r="B47" i="1"/>
  <c r="B46" i="1"/>
  <c r="B45" i="1"/>
  <c r="B44" i="1"/>
  <c r="B218" i="1"/>
  <c r="B217" i="1"/>
  <c r="B216" i="1"/>
  <c r="B215" i="1"/>
  <c r="B214" i="1"/>
  <c r="B213" i="1"/>
  <c r="B212" i="1"/>
  <c r="B211" i="1"/>
  <c r="F149" i="1"/>
  <c r="F148" i="1"/>
  <c r="F147" i="1"/>
  <c r="F146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98" i="1"/>
  <c r="F97" i="1"/>
  <c r="F96" i="1"/>
  <c r="F95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47" i="1"/>
  <c r="F46" i="1"/>
  <c r="F45" i="1"/>
  <c r="F44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D58" i="1" l="1"/>
  <c r="F170" i="1" l="1"/>
  <c r="B170" i="1"/>
  <c r="F168" i="1"/>
  <c r="E170" i="1"/>
  <c r="B166" i="1"/>
  <c r="C166" i="1"/>
  <c r="D166" i="1"/>
  <c r="E166" i="1"/>
  <c r="F166" i="1"/>
  <c r="B167" i="1"/>
  <c r="C167" i="1"/>
  <c r="D167" i="1"/>
  <c r="E167" i="1"/>
  <c r="F167" i="1"/>
  <c r="C168" i="1"/>
  <c r="D168" i="1"/>
  <c r="E168" i="1"/>
  <c r="B169" i="1"/>
  <c r="C169" i="1"/>
  <c r="D169" i="1"/>
  <c r="E169" i="1"/>
  <c r="F169" i="1"/>
  <c r="C170" i="1"/>
  <c r="D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A100" i="1"/>
  <c r="A151" i="1" s="1"/>
  <c r="A202" i="1"/>
  <c r="F101" i="1"/>
  <c r="F152" i="1" s="1"/>
  <c r="B219" i="1"/>
  <c r="B100" i="1"/>
  <c r="B151" i="1" s="1"/>
  <c r="B101" i="1"/>
  <c r="B152" i="1" s="1"/>
  <c r="B202" i="1"/>
  <c r="B203" i="1"/>
  <c r="D160" i="1"/>
  <c r="D109" i="1"/>
  <c r="F7" i="1"/>
  <c r="F160" i="1"/>
  <c r="A160" i="1"/>
  <c r="A58" i="1"/>
  <c r="F109" i="1" s="1"/>
  <c r="A101" i="1"/>
  <c r="A152" i="1" s="1"/>
  <c r="D101" i="1"/>
  <c r="D152" i="1" s="1"/>
  <c r="A203" i="1"/>
  <c r="D203" i="1"/>
  <c r="F203" i="1"/>
  <c r="B168" i="1" l="1"/>
  <c r="F58" i="1"/>
  <c r="B224" i="1"/>
  <c r="A109" i="1"/>
</calcChain>
</file>

<file path=xl/sharedStrings.xml><?xml version="1.0" encoding="utf-8"?>
<sst xmlns="http://schemas.openxmlformats.org/spreadsheetml/2006/main" count="314" uniqueCount="100">
  <si>
    <t xml:space="preserve">                            Monthly Report of Federal Civilian Employment</t>
  </si>
  <si>
    <t>1.  Department or Agency</t>
  </si>
  <si>
    <t>2.  Code</t>
  </si>
  <si>
    <t xml:space="preserve"> 3.   Other  Organizational  Unit</t>
  </si>
  <si>
    <t xml:space="preserve"> 4.  Code</t>
  </si>
  <si>
    <t>5.  Period Covered (Use a 6-digit number to indicate month, day, and year in items a, b and c.</t>
  </si>
  <si>
    <t>a.  Employment As Of:</t>
  </si>
  <si>
    <t xml:space="preserve">          b.  Payroll</t>
  </si>
  <si>
    <t>c.  Turnover</t>
  </si>
  <si>
    <t>From</t>
  </si>
  <si>
    <t>To</t>
  </si>
  <si>
    <t xml:space="preserve">                                              From              To</t>
  </si>
  <si>
    <t xml:space="preserve">            Overseas</t>
  </si>
  <si>
    <t xml:space="preserve">           United States</t>
  </si>
  <si>
    <t>Employment, Payroll,</t>
  </si>
  <si>
    <t xml:space="preserve">    All</t>
  </si>
  <si>
    <t>Territory</t>
  </si>
  <si>
    <t>Foreign</t>
  </si>
  <si>
    <t>Wash DC</t>
  </si>
  <si>
    <t>Outside DC</t>
  </si>
  <si>
    <t>Turnover, and Ceiling Data</t>
  </si>
  <si>
    <t xml:space="preserve">    Areas</t>
  </si>
  <si>
    <t>of the US</t>
  </si>
  <si>
    <t>Countries</t>
  </si>
  <si>
    <t>Metro Area</t>
  </si>
  <si>
    <t>(A)</t>
  </si>
  <si>
    <t>(B)</t>
  </si>
  <si>
    <t>(C)</t>
  </si>
  <si>
    <t>(D)</t>
  </si>
  <si>
    <t>(E)</t>
  </si>
  <si>
    <t>SECTION I  -  CURRENT STATUS</t>
  </si>
  <si>
    <t>1.   Grand Total Employment</t>
  </si>
  <si>
    <t>2.      Total in Permanent Positions</t>
  </si>
  <si>
    <t>3.       Full-time</t>
  </si>
  <si>
    <t>4.       Full-time in Permanent Positions</t>
  </si>
  <si>
    <t>5.       Full-time with Permanent Appointments</t>
  </si>
  <si>
    <t xml:space="preserve"> </t>
  </si>
  <si>
    <t>8.       Intermittent</t>
  </si>
  <si>
    <t>9.       Competitive Service</t>
  </si>
  <si>
    <t>10.        With Permanent Appointments</t>
  </si>
  <si>
    <t>11.    Excepted Service</t>
  </si>
  <si>
    <t>12.        With Permanent Appointments</t>
  </si>
  <si>
    <t>13.    Wage Systems</t>
  </si>
  <si>
    <t>14.    U.S. Citizens</t>
  </si>
  <si>
    <t>15.    Noncitizens</t>
  </si>
  <si>
    <t>16.    Total Intermittent Not Working</t>
  </si>
  <si>
    <t>SECTION II - PAYROLL  (In Thousands of Dollars.  For Ex: 1,213,600 is shown as 1,214)</t>
  </si>
  <si>
    <t>17.   Wages and Salaries Earned-Total</t>
  </si>
  <si>
    <t>18.   Lump Sum Payments</t>
  </si>
  <si>
    <t>SECTION III - TURNOVER</t>
  </si>
  <si>
    <t>19.  Total Accessions</t>
  </si>
  <si>
    <t>20.     Transfers</t>
  </si>
  <si>
    <t>21.     Total New Hires</t>
  </si>
  <si>
    <t>22.     Accessions to the Competitive Service</t>
  </si>
  <si>
    <t>23.     New Hires to the Competitive Service</t>
  </si>
  <si>
    <t>24.     U.S. Citizens</t>
  </si>
  <si>
    <t>25.  Total Separations</t>
  </si>
  <si>
    <t>26.     Transfers</t>
  </si>
  <si>
    <t>27.     Quits</t>
  </si>
  <si>
    <t>28.     U.S. Citizens</t>
  </si>
  <si>
    <t>SECTION IV - DATA EXCLUDING SPECIAL EMPLOYMENT CATEGORIES</t>
  </si>
  <si>
    <t>29.  Total Employment</t>
  </si>
  <si>
    <t>30.     Full-time in Permanent Positions</t>
  </si>
  <si>
    <t>31.  Total Payroll</t>
  </si>
  <si>
    <t>32.  Civil Functions</t>
  </si>
  <si>
    <t>Certified by</t>
  </si>
  <si>
    <t>Official Position</t>
  </si>
  <si>
    <t>Location and</t>
  </si>
  <si>
    <t>Date</t>
  </si>
  <si>
    <t>Telephone Number</t>
  </si>
  <si>
    <t xml:space="preserve">              Air Force - ANG-5</t>
  </si>
  <si>
    <t>6.       Part-time</t>
  </si>
  <si>
    <t>7.       Part-time with Permanent Appointments</t>
  </si>
  <si>
    <t>23.        New Hires to the Competitive Service</t>
  </si>
  <si>
    <t xml:space="preserve">              Air Force - NGB 32</t>
  </si>
  <si>
    <t>Location and Phone</t>
  </si>
  <si>
    <t>DISTRIBUTION OF INDIRECT HIRE EMPLOYEES</t>
  </si>
  <si>
    <t>BY COUNTRY</t>
  </si>
  <si>
    <t xml:space="preserve">                          AIR FORCE REGULAR</t>
  </si>
  <si>
    <t xml:space="preserve">COUNTRY       </t>
  </si>
  <si>
    <t>NUMBER</t>
  </si>
  <si>
    <t xml:space="preserve">BELGIUM       </t>
  </si>
  <si>
    <t>GERMANY</t>
  </si>
  <si>
    <t xml:space="preserve">GREECE       </t>
  </si>
  <si>
    <t xml:space="preserve">JAPAN       </t>
  </si>
  <si>
    <t xml:space="preserve">NETHERLANDS       </t>
  </si>
  <si>
    <t>UNITED KINGDOM</t>
  </si>
  <si>
    <t>TOTAL INDIRECT HIRES</t>
  </si>
  <si>
    <t>TOTAL ES</t>
  </si>
  <si>
    <t>undefined</t>
  </si>
  <si>
    <t>PORTUGAL</t>
  </si>
  <si>
    <t>Management Branch</t>
  </si>
  <si>
    <t>Endstrength</t>
  </si>
  <si>
    <t>//signed//</t>
  </si>
  <si>
    <t xml:space="preserve">a.  Employment As Of: </t>
  </si>
  <si>
    <t xml:space="preserve">    Air Force - Regular</t>
  </si>
  <si>
    <t xml:space="preserve">       Air Force - Total</t>
  </si>
  <si>
    <t>KARI A. GISSEL, GS-13, USAF</t>
  </si>
  <si>
    <t>NOTE: other FN is identified as being in France</t>
  </si>
  <si>
    <t>692-1295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</si>
</sst>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14"/>
      <name val="MS Sans Serif"/>
      <family val="2"/>
    </font>
    <font>
      <sz val="8"/>
      <name val="MS Sans Serif"/>
      <family val="2"/>
    </font>
    <font>
      <sz val="10"/>
      <color indexed="8"/>
      <name val="MS Sans Serif"/>
      <family val="2"/>
    </font>
    <font>
      <sz val="10"/>
      <color indexed="17"/>
      <name val="MS Sans Serif"/>
      <family val="2"/>
    </font>
    <font>
      <sz val="10"/>
      <color indexed="12"/>
      <name val="MS Sans Serif"/>
      <family val="2"/>
    </font>
    <font>
      <sz val="10"/>
      <color indexed="48"/>
      <name val="MS Sans Serif"/>
      <family val="2"/>
    </font>
    <font>
      <sz val="10"/>
      <color indexed="10"/>
      <name val="MS Sans Serif"/>
      <family val="2"/>
    </font>
    <font>
      <sz val="10"/>
      <color indexed="36"/>
      <name val="MS Sans Serif"/>
      <family val="2"/>
    </font>
    <font>
      <sz val="8.5"/>
      <name val="MS Sans Serif"/>
      <family val="2"/>
    </font>
    <font>
      <sz val="10"/>
      <color indexed="14"/>
      <name val="MS Sans Serif"/>
      <family val="2"/>
    </font>
    <font>
      <i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38" fontId="5" fillId="0" borderId="0" xfId="0" applyNumberFormat="1" applyFont="1" applyAlignment="1">
      <alignment horizontal="right"/>
    </xf>
    <xf numFmtId="0" fontId="7" fillId="0" borderId="0" xfId="0" applyFont="1"/>
    <xf numFmtId="0" fontId="6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38" fontId="0" fillId="0" borderId="0" xfId="0" applyNumberFormat="1" applyAlignment="1">
      <alignment horizontal="right"/>
    </xf>
    <xf numFmtId="38" fontId="0" fillId="0" borderId="0" xfId="0" applyNumberFormat="1"/>
    <xf numFmtId="0" fontId="3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38" fontId="0" fillId="0" borderId="9" xfId="0" applyNumberFormat="1" applyBorder="1" applyAlignment="1">
      <alignment horizontal="right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0" xfId="0" applyFont="1" applyAlignment="1">
      <alignment horizontal="center"/>
    </xf>
    <xf numFmtId="38" fontId="9" fillId="0" borderId="0" xfId="0" applyNumberFormat="1" applyFont="1" applyAlignment="1">
      <alignment horizontal="right"/>
    </xf>
    <xf numFmtId="0" fontId="9" fillId="0" borderId="0" xfId="0" applyFont="1"/>
    <xf numFmtId="38" fontId="7" fillId="0" borderId="0" xfId="0" applyNumberFormat="1" applyFont="1" applyAlignment="1">
      <alignment horizontal="right"/>
    </xf>
    <xf numFmtId="1" fontId="0" fillId="0" borderId="0" xfId="0" applyNumberFormat="1"/>
    <xf numFmtId="0" fontId="4" fillId="0" borderId="11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11" fillId="0" borderId="34" xfId="0" applyFont="1" applyBorder="1" applyAlignment="1">
      <alignment horizontal="left"/>
    </xf>
    <xf numFmtId="0" fontId="9" fillId="0" borderId="0" xfId="0" applyFont="1" applyAlignment="1">
      <alignment horizontal="left"/>
    </xf>
    <xf numFmtId="38" fontId="8" fillId="0" borderId="0" xfId="0" applyNumberFormat="1" applyFont="1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2" xfId="0" applyFon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38" fontId="12" fillId="0" borderId="0" xfId="0" applyNumberFormat="1" applyFont="1" applyAlignment="1">
      <alignment horizontal="right"/>
    </xf>
    <xf numFmtId="1" fontId="2" fillId="0" borderId="7" xfId="0" applyNumberFormat="1" applyFont="1" applyBorder="1"/>
    <xf numFmtId="1" fontId="2" fillId="0" borderId="0" xfId="0" applyNumberFormat="1" applyFont="1" applyAlignment="1">
      <alignment horizontal="center"/>
    </xf>
    <xf numFmtId="1" fontId="2" fillId="0" borderId="32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2" fillId="0" borderId="2" xfId="0" applyNumberFormat="1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33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/>
    <xf numFmtId="0" fontId="2" fillId="0" borderId="0" xfId="0" applyFont="1"/>
    <xf numFmtId="0" fontId="2" fillId="0" borderId="6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8" xfId="0" applyFont="1" applyBorder="1"/>
    <xf numFmtId="0" fontId="2" fillId="0" borderId="8" xfId="0" applyFont="1" applyBorder="1"/>
    <xf numFmtId="14" fontId="2" fillId="0" borderId="21" xfId="0" applyNumberFormat="1" applyFont="1" applyBorder="1" applyAlignment="1">
      <alignment horizontal="left"/>
    </xf>
    <xf numFmtId="0" fontId="2" fillId="0" borderId="22" xfId="0" applyFont="1" applyBorder="1"/>
    <xf numFmtId="0" fontId="2" fillId="0" borderId="23" xfId="0" applyFont="1" applyBorder="1"/>
    <xf numFmtId="14" fontId="2" fillId="0" borderId="22" xfId="0" applyNumberFormat="1" applyFont="1" applyBorder="1" applyAlignment="1">
      <alignment horizontal="left"/>
    </xf>
    <xf numFmtId="14" fontId="2" fillId="0" borderId="24" xfId="0" applyNumberFormat="1" applyFont="1" applyBorder="1" applyAlignment="1">
      <alignment horizontal="left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1" xfId="0" applyFont="1" applyBorder="1" applyAlignment="1">
      <alignment horizontal="center"/>
    </xf>
    <xf numFmtId="0" fontId="2" fillId="0" borderId="14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30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5" xfId="0" applyFont="1" applyBorder="1"/>
    <xf numFmtId="0" fontId="2" fillId="0" borderId="34" xfId="0" applyFont="1" applyBorder="1" applyAlignment="1">
      <alignment horizontal="left"/>
    </xf>
    <xf numFmtId="15" fontId="2" fillId="0" borderId="36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39" xfId="0" applyFont="1" applyBorder="1" applyAlignment="1">
      <alignment horizontal="left"/>
    </xf>
    <xf numFmtId="16" fontId="2" fillId="0" borderId="0" xfId="0" applyNumberFormat="1" applyFont="1" applyAlignment="1">
      <alignment horizontal="left"/>
    </xf>
    <xf numFmtId="14" fontId="2" fillId="0" borderId="22" xfId="0" applyNumberFormat="1" applyFont="1" applyBorder="1"/>
    <xf numFmtId="14" fontId="2" fillId="0" borderId="24" xfId="0" applyNumberFormat="1" applyFont="1" applyBorder="1"/>
    <xf numFmtId="1" fontId="2" fillId="0" borderId="2" xfId="0" applyNumberFormat="1" applyFont="1" applyBorder="1" applyAlignment="1">
      <alignment horizontal="right"/>
    </xf>
    <xf numFmtId="1" fontId="2" fillId="0" borderId="7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31" xfId="0" applyFont="1" applyBorder="1" applyAlignment="1">
      <alignment horizontal="centerContinuous"/>
    </xf>
    <xf numFmtId="0" fontId="2" fillId="0" borderId="12" xfId="0" applyFont="1" applyBorder="1" applyAlignment="1">
      <alignment horizontal="centerContinuous"/>
    </xf>
    <xf numFmtId="0" fontId="2" fillId="0" borderId="32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36" xfId="0" applyFont="1" applyBorder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ggersl/AppData/Local/Microsoft/Windows/Temporary%20Internet%20Files/Content.Outlook/UVDOAOVQ/113%20-%20130901-%20Sep%2013%20-%20Submiss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ggersl/AppData/Local/Microsoft/Windows/Temporary%20Internet%20Files/Content.Outlook/UVDOAOVQ/113%20-%20130701-%20Jul%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ggersl/AppData/Local/Microsoft/Windows/Temporary%20Internet%20Files/Content.Outlook/UVDOAOVQ/113%20-%20130801-%20Aug%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SF"/>
    </sheetNames>
    <sheetDataSet>
      <sheetData sheetId="0">
        <row r="13">
          <cell r="B13">
            <v>145529</v>
          </cell>
          <cell r="C13">
            <v>107</v>
          </cell>
          <cell r="D13">
            <v>5541</v>
          </cell>
          <cell r="E13">
            <v>5279</v>
          </cell>
          <cell r="F13">
            <v>134602</v>
          </cell>
        </row>
        <row r="14">
          <cell r="B14">
            <v>145044</v>
          </cell>
          <cell r="C14">
            <v>107</v>
          </cell>
          <cell r="D14">
            <v>5528</v>
          </cell>
          <cell r="E14">
            <v>5271</v>
          </cell>
          <cell r="F14">
            <v>134138</v>
          </cell>
        </row>
        <row r="15">
          <cell r="B15">
            <v>144627</v>
          </cell>
          <cell r="C15">
            <v>106</v>
          </cell>
          <cell r="D15">
            <v>5482</v>
          </cell>
          <cell r="E15">
            <v>5263</v>
          </cell>
          <cell r="F15">
            <v>133776</v>
          </cell>
        </row>
        <row r="16">
          <cell r="B16">
            <v>144150</v>
          </cell>
          <cell r="C16">
            <v>106</v>
          </cell>
          <cell r="D16">
            <v>5469</v>
          </cell>
          <cell r="E16">
            <v>5255</v>
          </cell>
          <cell r="F16">
            <v>133320</v>
          </cell>
        </row>
        <row r="17">
          <cell r="B17">
            <v>139187</v>
          </cell>
          <cell r="C17">
            <v>105</v>
          </cell>
          <cell r="D17">
            <v>2592</v>
          </cell>
          <cell r="E17">
            <v>5202</v>
          </cell>
          <cell r="F17">
            <v>131288</v>
          </cell>
        </row>
        <row r="18">
          <cell r="B18">
            <v>885</v>
          </cell>
          <cell r="C18">
            <v>1</v>
          </cell>
          <cell r="D18">
            <v>59</v>
          </cell>
          <cell r="E18">
            <v>16</v>
          </cell>
          <cell r="F18">
            <v>809</v>
          </cell>
        </row>
        <row r="19">
          <cell r="B19">
            <v>748</v>
          </cell>
          <cell r="C19">
            <v>1</v>
          </cell>
          <cell r="D19">
            <v>3</v>
          </cell>
          <cell r="E19">
            <v>13</v>
          </cell>
          <cell r="F19">
            <v>731</v>
          </cell>
        </row>
        <row r="20">
          <cell r="B20">
            <v>17</v>
          </cell>
          <cell r="C20">
            <v>0</v>
          </cell>
          <cell r="D20">
            <v>0</v>
          </cell>
          <cell r="E20">
            <v>0</v>
          </cell>
          <cell r="F20">
            <v>17</v>
          </cell>
        </row>
        <row r="21">
          <cell r="B21">
            <v>132745</v>
          </cell>
          <cell r="C21">
            <v>105</v>
          </cell>
          <cell r="D21">
            <v>2168</v>
          </cell>
          <cell r="E21">
            <v>4169</v>
          </cell>
          <cell r="F21">
            <v>126303</v>
          </cell>
        </row>
        <row r="22">
          <cell r="B22">
            <v>130781</v>
          </cell>
          <cell r="C22">
            <v>104</v>
          </cell>
          <cell r="D22">
            <v>2147</v>
          </cell>
          <cell r="E22">
            <v>4135</v>
          </cell>
          <cell r="F22">
            <v>124395</v>
          </cell>
        </row>
        <row r="23">
          <cell r="B23">
            <v>12784</v>
          </cell>
          <cell r="C23">
            <v>2</v>
          </cell>
          <cell r="D23">
            <v>3373</v>
          </cell>
          <cell r="E23">
            <v>1110</v>
          </cell>
          <cell r="F23">
            <v>8299</v>
          </cell>
        </row>
        <row r="24">
          <cell r="B24">
            <v>9163</v>
          </cell>
          <cell r="C24">
            <v>2</v>
          </cell>
          <cell r="D24">
            <v>448</v>
          </cell>
          <cell r="E24">
            <v>1080</v>
          </cell>
          <cell r="F24">
            <v>7633</v>
          </cell>
        </row>
        <row r="25">
          <cell r="B25">
            <v>30893</v>
          </cell>
          <cell r="C25">
            <v>18</v>
          </cell>
          <cell r="D25">
            <v>180</v>
          </cell>
          <cell r="E25">
            <v>165</v>
          </cell>
          <cell r="F25">
            <v>30530</v>
          </cell>
        </row>
        <row r="26">
          <cell r="B26">
            <v>143278</v>
          </cell>
          <cell r="C26">
            <v>107</v>
          </cell>
          <cell r="D26">
            <v>3293</v>
          </cell>
          <cell r="E26">
            <v>5279</v>
          </cell>
          <cell r="F26">
            <v>134599</v>
          </cell>
        </row>
        <row r="27">
          <cell r="B27">
            <v>2251</v>
          </cell>
          <cell r="C27">
            <v>0</v>
          </cell>
          <cell r="D27">
            <v>2248</v>
          </cell>
          <cell r="E27">
            <v>0</v>
          </cell>
          <cell r="F27">
            <v>3</v>
          </cell>
        </row>
        <row r="28">
          <cell r="B28">
            <v>83</v>
          </cell>
          <cell r="C28">
            <v>0</v>
          </cell>
          <cell r="D28">
            <v>0</v>
          </cell>
          <cell r="E28">
            <v>3</v>
          </cell>
          <cell r="F28">
            <v>80</v>
          </cell>
        </row>
        <row r="33">
          <cell r="B33">
            <v>839</v>
          </cell>
          <cell r="C33">
            <v>0</v>
          </cell>
          <cell r="D33">
            <v>44</v>
          </cell>
          <cell r="E33">
            <v>30</v>
          </cell>
          <cell r="F33">
            <v>765</v>
          </cell>
        </row>
        <row r="34">
          <cell r="B34">
            <v>100</v>
          </cell>
          <cell r="C34">
            <v>0</v>
          </cell>
          <cell r="D34">
            <v>5</v>
          </cell>
          <cell r="E34">
            <v>5</v>
          </cell>
          <cell r="F34">
            <v>90</v>
          </cell>
        </row>
        <row r="35">
          <cell r="B35">
            <v>457</v>
          </cell>
          <cell r="C35">
            <v>0</v>
          </cell>
          <cell r="D35">
            <v>35</v>
          </cell>
          <cell r="E35">
            <v>22</v>
          </cell>
          <cell r="F35">
            <v>400</v>
          </cell>
        </row>
        <row r="36">
          <cell r="B36">
            <v>689</v>
          </cell>
          <cell r="C36">
            <v>0</v>
          </cell>
          <cell r="D36">
            <v>19</v>
          </cell>
          <cell r="E36">
            <v>18</v>
          </cell>
          <cell r="F36">
            <v>652</v>
          </cell>
        </row>
        <row r="37">
          <cell r="B37">
            <v>344</v>
          </cell>
          <cell r="C37">
            <v>0</v>
          </cell>
          <cell r="D37">
            <v>12</v>
          </cell>
          <cell r="E37">
            <v>10</v>
          </cell>
          <cell r="F37">
            <v>322</v>
          </cell>
        </row>
        <row r="38">
          <cell r="B38">
            <v>839</v>
          </cell>
          <cell r="C38">
            <v>0</v>
          </cell>
          <cell r="D38">
            <v>44</v>
          </cell>
          <cell r="E38">
            <v>30</v>
          </cell>
          <cell r="F38">
            <v>765</v>
          </cell>
        </row>
        <row r="39">
          <cell r="B39">
            <v>1284</v>
          </cell>
          <cell r="C39">
            <v>0</v>
          </cell>
          <cell r="D39">
            <v>27</v>
          </cell>
          <cell r="E39">
            <v>3</v>
          </cell>
          <cell r="F39">
            <v>1254</v>
          </cell>
        </row>
        <row r="40">
          <cell r="B40">
            <v>139</v>
          </cell>
          <cell r="C40">
            <v>0</v>
          </cell>
          <cell r="D40">
            <v>1</v>
          </cell>
          <cell r="E40">
            <v>0</v>
          </cell>
          <cell r="F40">
            <v>138</v>
          </cell>
        </row>
        <row r="41">
          <cell r="B41">
            <v>87</v>
          </cell>
          <cell r="C41">
            <v>0</v>
          </cell>
          <cell r="D41">
            <v>0</v>
          </cell>
          <cell r="E41">
            <v>0</v>
          </cell>
          <cell r="F41">
            <v>87</v>
          </cell>
        </row>
        <row r="42">
          <cell r="B42">
            <v>1284</v>
          </cell>
          <cell r="C42">
            <v>0</v>
          </cell>
          <cell r="D42">
            <v>27</v>
          </cell>
          <cell r="E42">
            <v>3</v>
          </cell>
          <cell r="F42">
            <v>1254</v>
          </cell>
        </row>
        <row r="44">
          <cell r="B44">
            <v>145529</v>
          </cell>
          <cell r="C44">
            <v>107</v>
          </cell>
          <cell r="D44">
            <v>5541</v>
          </cell>
          <cell r="E44">
            <v>5279</v>
          </cell>
          <cell r="F44">
            <v>134602</v>
          </cell>
        </row>
        <row r="45">
          <cell r="B45">
            <v>139183</v>
          </cell>
          <cell r="C45">
            <v>105</v>
          </cell>
          <cell r="D45">
            <v>2592</v>
          </cell>
          <cell r="E45">
            <v>5202</v>
          </cell>
          <cell r="F45">
            <v>131284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B47">
            <v>1</v>
          </cell>
          <cell r="C47">
            <v>0</v>
          </cell>
          <cell r="D47">
            <v>0</v>
          </cell>
          <cell r="E47">
            <v>0</v>
          </cell>
          <cell r="F47">
            <v>1</v>
          </cell>
        </row>
        <row r="50">
          <cell r="F50">
            <v>41564</v>
          </cell>
        </row>
        <row r="64">
          <cell r="B64">
            <v>1343</v>
          </cell>
          <cell r="C64">
            <v>0</v>
          </cell>
          <cell r="D64">
            <v>0</v>
          </cell>
          <cell r="E64">
            <v>447</v>
          </cell>
          <cell r="F64">
            <v>896</v>
          </cell>
        </row>
        <row r="65">
          <cell r="B65">
            <v>1343</v>
          </cell>
          <cell r="C65">
            <v>0</v>
          </cell>
          <cell r="D65">
            <v>0</v>
          </cell>
          <cell r="E65">
            <v>447</v>
          </cell>
          <cell r="F65">
            <v>896</v>
          </cell>
        </row>
        <row r="66">
          <cell r="B66">
            <v>1342</v>
          </cell>
          <cell r="C66">
            <v>0</v>
          </cell>
          <cell r="D66">
            <v>0</v>
          </cell>
          <cell r="E66">
            <v>447</v>
          </cell>
          <cell r="F66">
            <v>895</v>
          </cell>
        </row>
        <row r="67">
          <cell r="B67">
            <v>1342</v>
          </cell>
          <cell r="C67">
            <v>0</v>
          </cell>
          <cell r="D67">
            <v>0</v>
          </cell>
          <cell r="E67">
            <v>447</v>
          </cell>
          <cell r="F67">
            <v>895</v>
          </cell>
        </row>
        <row r="68">
          <cell r="B68">
            <v>1325</v>
          </cell>
          <cell r="C68">
            <v>0</v>
          </cell>
          <cell r="D68">
            <v>0</v>
          </cell>
          <cell r="E68">
            <v>440</v>
          </cell>
          <cell r="F68">
            <v>885</v>
          </cell>
        </row>
        <row r="69">
          <cell r="B69">
            <v>1</v>
          </cell>
          <cell r="C69">
            <v>0</v>
          </cell>
          <cell r="D69">
            <v>0</v>
          </cell>
          <cell r="E69">
            <v>0</v>
          </cell>
          <cell r="F69">
            <v>1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B72">
            <v>1312</v>
          </cell>
          <cell r="C72">
            <v>0</v>
          </cell>
          <cell r="D72">
            <v>0</v>
          </cell>
          <cell r="E72">
            <v>431</v>
          </cell>
          <cell r="F72">
            <v>881</v>
          </cell>
        </row>
        <row r="73">
          <cell r="B73">
            <v>1295</v>
          </cell>
          <cell r="C73">
            <v>0</v>
          </cell>
          <cell r="D73">
            <v>0</v>
          </cell>
          <cell r="E73">
            <v>424</v>
          </cell>
          <cell r="F73">
            <v>871</v>
          </cell>
        </row>
        <row r="74">
          <cell r="B74">
            <v>31</v>
          </cell>
          <cell r="C74">
            <v>0</v>
          </cell>
          <cell r="D74">
            <v>0</v>
          </cell>
          <cell r="E74">
            <v>16</v>
          </cell>
          <cell r="F74">
            <v>15</v>
          </cell>
        </row>
        <row r="75">
          <cell r="B75">
            <v>30</v>
          </cell>
          <cell r="C75">
            <v>0</v>
          </cell>
          <cell r="D75">
            <v>0</v>
          </cell>
          <cell r="E75">
            <v>16</v>
          </cell>
          <cell r="F75">
            <v>14</v>
          </cell>
        </row>
        <row r="76">
          <cell r="B76">
            <v>236</v>
          </cell>
          <cell r="C76">
            <v>0</v>
          </cell>
          <cell r="D76">
            <v>0</v>
          </cell>
          <cell r="E76">
            <v>8</v>
          </cell>
          <cell r="F76">
            <v>228</v>
          </cell>
        </row>
        <row r="77">
          <cell r="B77">
            <v>1343</v>
          </cell>
          <cell r="C77">
            <v>0</v>
          </cell>
          <cell r="D77">
            <v>0</v>
          </cell>
          <cell r="E77">
            <v>447</v>
          </cell>
          <cell r="F77">
            <v>896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5">
          <cell r="B95">
            <v>1343</v>
          </cell>
          <cell r="C95">
            <v>0</v>
          </cell>
          <cell r="D95">
            <v>0</v>
          </cell>
          <cell r="E95">
            <v>447</v>
          </cell>
          <cell r="F95">
            <v>896</v>
          </cell>
        </row>
        <row r="96">
          <cell r="B96">
            <v>1325</v>
          </cell>
          <cell r="C96">
            <v>0</v>
          </cell>
          <cell r="D96">
            <v>0</v>
          </cell>
          <cell r="E96">
            <v>440</v>
          </cell>
          <cell r="F96">
            <v>885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</row>
        <row r="115">
          <cell r="B115">
            <v>22568</v>
          </cell>
          <cell r="C115">
            <v>269</v>
          </cell>
          <cell r="D115">
            <v>0</v>
          </cell>
          <cell r="E115">
            <v>274</v>
          </cell>
          <cell r="F115">
            <v>22025</v>
          </cell>
        </row>
        <row r="116">
          <cell r="B116">
            <v>19065</v>
          </cell>
          <cell r="C116">
            <v>213</v>
          </cell>
          <cell r="D116">
            <v>0</v>
          </cell>
          <cell r="E116">
            <v>244</v>
          </cell>
          <cell r="F116">
            <v>18608</v>
          </cell>
        </row>
        <row r="117">
          <cell r="B117">
            <v>22536</v>
          </cell>
          <cell r="C117">
            <v>269</v>
          </cell>
          <cell r="D117">
            <v>0</v>
          </cell>
          <cell r="E117">
            <v>274</v>
          </cell>
          <cell r="F117">
            <v>21993</v>
          </cell>
        </row>
        <row r="118">
          <cell r="B118">
            <v>19033</v>
          </cell>
          <cell r="C118">
            <v>213</v>
          </cell>
          <cell r="D118">
            <v>0</v>
          </cell>
          <cell r="E118">
            <v>244</v>
          </cell>
          <cell r="F118">
            <v>18576</v>
          </cell>
        </row>
        <row r="119">
          <cell r="B119">
            <v>19061</v>
          </cell>
          <cell r="C119">
            <v>213</v>
          </cell>
          <cell r="D119">
            <v>0</v>
          </cell>
          <cell r="E119">
            <v>244</v>
          </cell>
          <cell r="F119">
            <v>18604</v>
          </cell>
        </row>
        <row r="120">
          <cell r="B120">
            <v>30</v>
          </cell>
          <cell r="C120">
            <v>0</v>
          </cell>
          <cell r="D120">
            <v>0</v>
          </cell>
          <cell r="E120">
            <v>0</v>
          </cell>
          <cell r="F120">
            <v>30</v>
          </cell>
        </row>
        <row r="121">
          <cell r="B121">
            <v>4</v>
          </cell>
          <cell r="C121">
            <v>0</v>
          </cell>
          <cell r="D121">
            <v>0</v>
          </cell>
          <cell r="E121">
            <v>0</v>
          </cell>
          <cell r="F121">
            <v>4</v>
          </cell>
        </row>
        <row r="122">
          <cell r="B122">
            <v>2</v>
          </cell>
          <cell r="C122">
            <v>0</v>
          </cell>
          <cell r="D122">
            <v>0</v>
          </cell>
          <cell r="E122">
            <v>0</v>
          </cell>
          <cell r="F122">
            <v>2</v>
          </cell>
        </row>
        <row r="123">
          <cell r="B123">
            <v>366</v>
          </cell>
          <cell r="C123">
            <v>3</v>
          </cell>
          <cell r="D123">
            <v>0</v>
          </cell>
          <cell r="E123">
            <v>19</v>
          </cell>
          <cell r="F123">
            <v>344</v>
          </cell>
        </row>
        <row r="124">
          <cell r="B124">
            <v>341</v>
          </cell>
          <cell r="C124">
            <v>3</v>
          </cell>
          <cell r="D124">
            <v>0</v>
          </cell>
          <cell r="E124">
            <v>19</v>
          </cell>
          <cell r="F124">
            <v>319</v>
          </cell>
        </row>
        <row r="125">
          <cell r="B125">
            <v>22202</v>
          </cell>
          <cell r="C125">
            <v>266</v>
          </cell>
          <cell r="D125">
            <v>0</v>
          </cell>
          <cell r="E125">
            <v>255</v>
          </cell>
          <cell r="F125">
            <v>21681</v>
          </cell>
        </row>
        <row r="126">
          <cell r="B126">
            <v>18724</v>
          </cell>
          <cell r="C126">
            <v>210</v>
          </cell>
          <cell r="D126">
            <v>0</v>
          </cell>
          <cell r="E126">
            <v>225</v>
          </cell>
          <cell r="F126">
            <v>18289</v>
          </cell>
        </row>
        <row r="127">
          <cell r="B127">
            <v>11114</v>
          </cell>
          <cell r="C127">
            <v>88</v>
          </cell>
          <cell r="D127">
            <v>0</v>
          </cell>
          <cell r="E127">
            <v>198</v>
          </cell>
          <cell r="F127">
            <v>10828</v>
          </cell>
        </row>
        <row r="128">
          <cell r="B128">
            <v>22565</v>
          </cell>
          <cell r="C128">
            <v>269</v>
          </cell>
          <cell r="D128">
            <v>0</v>
          </cell>
          <cell r="E128">
            <v>274</v>
          </cell>
          <cell r="F128">
            <v>22022</v>
          </cell>
        </row>
        <row r="129">
          <cell r="B129">
            <v>3</v>
          </cell>
          <cell r="C129">
            <v>0</v>
          </cell>
          <cell r="D129">
            <v>0</v>
          </cell>
          <cell r="E129">
            <v>0</v>
          </cell>
          <cell r="F129">
            <v>3</v>
          </cell>
        </row>
        <row r="130"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</row>
        <row r="135">
          <cell r="B135">
            <v>433</v>
          </cell>
          <cell r="C135">
            <v>7</v>
          </cell>
          <cell r="D135">
            <v>0</v>
          </cell>
          <cell r="E135">
            <v>18</v>
          </cell>
          <cell r="F135">
            <v>408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B137">
            <v>260</v>
          </cell>
          <cell r="C137">
            <v>1</v>
          </cell>
          <cell r="D137">
            <v>0</v>
          </cell>
          <cell r="E137">
            <v>13</v>
          </cell>
          <cell r="F137">
            <v>246</v>
          </cell>
        </row>
        <row r="138">
          <cell r="B138">
            <v>5</v>
          </cell>
          <cell r="C138">
            <v>0</v>
          </cell>
          <cell r="D138">
            <v>0</v>
          </cell>
          <cell r="E138">
            <v>0</v>
          </cell>
          <cell r="F138">
            <v>5</v>
          </cell>
        </row>
        <row r="139">
          <cell r="B139">
            <v>4</v>
          </cell>
          <cell r="C139">
            <v>0</v>
          </cell>
          <cell r="D139">
            <v>0</v>
          </cell>
          <cell r="E139">
            <v>0</v>
          </cell>
          <cell r="F139">
            <v>4</v>
          </cell>
        </row>
        <row r="140">
          <cell r="B140">
            <v>433</v>
          </cell>
          <cell r="C140">
            <v>7</v>
          </cell>
          <cell r="D140">
            <v>0</v>
          </cell>
          <cell r="E140">
            <v>18</v>
          </cell>
          <cell r="F140">
            <v>408</v>
          </cell>
        </row>
        <row r="141">
          <cell r="B141">
            <v>1597</v>
          </cell>
          <cell r="C141">
            <v>43</v>
          </cell>
          <cell r="D141">
            <v>0</v>
          </cell>
          <cell r="E141">
            <v>40</v>
          </cell>
          <cell r="F141">
            <v>1514</v>
          </cell>
        </row>
        <row r="142">
          <cell r="B142">
            <v>8</v>
          </cell>
          <cell r="C142">
            <v>0</v>
          </cell>
          <cell r="D142">
            <v>0</v>
          </cell>
          <cell r="E142">
            <v>0</v>
          </cell>
          <cell r="F142">
            <v>8</v>
          </cell>
        </row>
        <row r="143">
          <cell r="B143">
            <v>140</v>
          </cell>
          <cell r="C143">
            <v>1</v>
          </cell>
          <cell r="D143">
            <v>0</v>
          </cell>
          <cell r="E143">
            <v>4</v>
          </cell>
          <cell r="F143">
            <v>135</v>
          </cell>
        </row>
        <row r="144">
          <cell r="B144">
            <v>1597</v>
          </cell>
          <cell r="C144">
            <v>43</v>
          </cell>
          <cell r="D144">
            <v>0</v>
          </cell>
          <cell r="E144">
            <v>40</v>
          </cell>
          <cell r="F144">
            <v>1514</v>
          </cell>
        </row>
        <row r="146">
          <cell r="B146">
            <v>22568</v>
          </cell>
          <cell r="C146">
            <v>269</v>
          </cell>
          <cell r="D146">
            <v>0</v>
          </cell>
          <cell r="E146">
            <v>274</v>
          </cell>
          <cell r="F146">
            <v>22025</v>
          </cell>
        </row>
        <row r="147">
          <cell r="B147">
            <v>19065</v>
          </cell>
          <cell r="C147">
            <v>213</v>
          </cell>
          <cell r="D147">
            <v>0</v>
          </cell>
          <cell r="E147">
            <v>244</v>
          </cell>
          <cell r="F147">
            <v>18608</v>
          </cell>
        </row>
        <row r="211">
          <cell r="B211">
            <v>0</v>
          </cell>
        </row>
        <row r="212">
          <cell r="B212">
            <v>2294</v>
          </cell>
        </row>
        <row r="213">
          <cell r="B213">
            <v>0</v>
          </cell>
        </row>
        <row r="214">
          <cell r="B214">
            <v>3994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0</v>
          </cell>
        </row>
        <row r="218">
          <cell r="B21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SF"/>
      <sheetName val="113 - 130701- Jul 13"/>
    </sheetNames>
    <sheetDataSet>
      <sheetData sheetId="0">
        <row r="33">
          <cell r="B33">
            <v>949</v>
          </cell>
          <cell r="C33">
            <v>0</v>
          </cell>
          <cell r="D33">
            <v>61</v>
          </cell>
          <cell r="E33">
            <v>30</v>
          </cell>
          <cell r="F33">
            <v>858</v>
          </cell>
        </row>
        <row r="34">
          <cell r="B34">
            <v>73</v>
          </cell>
          <cell r="C34">
            <v>0</v>
          </cell>
          <cell r="D34">
            <v>3</v>
          </cell>
          <cell r="E34">
            <v>4</v>
          </cell>
          <cell r="F34">
            <v>66</v>
          </cell>
        </row>
        <row r="35">
          <cell r="B35">
            <v>626</v>
          </cell>
          <cell r="C35">
            <v>0</v>
          </cell>
          <cell r="D35">
            <v>46</v>
          </cell>
          <cell r="E35">
            <v>19</v>
          </cell>
          <cell r="F35">
            <v>561</v>
          </cell>
        </row>
        <row r="36">
          <cell r="B36">
            <v>715</v>
          </cell>
          <cell r="C36">
            <v>0</v>
          </cell>
          <cell r="D36">
            <v>20</v>
          </cell>
          <cell r="E36">
            <v>19</v>
          </cell>
          <cell r="F36">
            <v>676</v>
          </cell>
        </row>
        <row r="37">
          <cell r="B37">
            <v>411</v>
          </cell>
          <cell r="C37">
            <v>0</v>
          </cell>
          <cell r="D37">
            <v>7</v>
          </cell>
          <cell r="E37">
            <v>9</v>
          </cell>
          <cell r="F37">
            <v>395</v>
          </cell>
        </row>
        <row r="38">
          <cell r="B38">
            <v>949</v>
          </cell>
          <cell r="C38">
            <v>0</v>
          </cell>
          <cell r="D38">
            <v>61</v>
          </cell>
          <cell r="E38">
            <v>30</v>
          </cell>
          <cell r="F38">
            <v>858</v>
          </cell>
        </row>
        <row r="39">
          <cell r="B39">
            <v>1319</v>
          </cell>
          <cell r="C39">
            <v>0</v>
          </cell>
          <cell r="D39">
            <v>22</v>
          </cell>
          <cell r="E39">
            <v>9</v>
          </cell>
          <cell r="F39">
            <v>1288</v>
          </cell>
        </row>
        <row r="40">
          <cell r="B40">
            <v>118</v>
          </cell>
          <cell r="C40">
            <v>0</v>
          </cell>
          <cell r="D40">
            <v>0</v>
          </cell>
          <cell r="E40">
            <v>2</v>
          </cell>
          <cell r="F40">
            <v>116</v>
          </cell>
        </row>
        <row r="41">
          <cell r="B41">
            <v>53</v>
          </cell>
          <cell r="C41">
            <v>0</v>
          </cell>
          <cell r="D41">
            <v>0</v>
          </cell>
          <cell r="E41">
            <v>1</v>
          </cell>
          <cell r="F41">
            <v>52</v>
          </cell>
        </row>
        <row r="42">
          <cell r="B42">
            <v>1319</v>
          </cell>
          <cell r="C42">
            <v>0</v>
          </cell>
          <cell r="D42">
            <v>22</v>
          </cell>
          <cell r="E42">
            <v>9</v>
          </cell>
          <cell r="F42">
            <v>1288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135">
          <cell r="B135">
            <v>645</v>
          </cell>
          <cell r="C135">
            <v>18</v>
          </cell>
          <cell r="D135">
            <v>0</v>
          </cell>
          <cell r="E135">
            <v>7</v>
          </cell>
          <cell r="F135">
            <v>620</v>
          </cell>
        </row>
        <row r="136">
          <cell r="B136">
            <v>1</v>
          </cell>
          <cell r="C136">
            <v>0</v>
          </cell>
          <cell r="D136">
            <v>0</v>
          </cell>
          <cell r="E136">
            <v>0</v>
          </cell>
          <cell r="F136">
            <v>1</v>
          </cell>
        </row>
        <row r="137">
          <cell r="B137">
            <v>423</v>
          </cell>
          <cell r="C137">
            <v>11</v>
          </cell>
          <cell r="D137">
            <v>0</v>
          </cell>
          <cell r="E137">
            <v>5</v>
          </cell>
          <cell r="F137">
            <v>407</v>
          </cell>
        </row>
        <row r="138">
          <cell r="B138">
            <v>3</v>
          </cell>
          <cell r="C138">
            <v>0</v>
          </cell>
          <cell r="D138">
            <v>0</v>
          </cell>
          <cell r="E138">
            <v>0</v>
          </cell>
          <cell r="F138">
            <v>3</v>
          </cell>
        </row>
        <row r="139">
          <cell r="B139">
            <v>2</v>
          </cell>
          <cell r="C139">
            <v>0</v>
          </cell>
          <cell r="D139">
            <v>0</v>
          </cell>
          <cell r="E139">
            <v>0</v>
          </cell>
          <cell r="F139">
            <v>2</v>
          </cell>
        </row>
        <row r="140">
          <cell r="B140">
            <v>645</v>
          </cell>
          <cell r="C140">
            <v>18</v>
          </cell>
          <cell r="D140">
            <v>0</v>
          </cell>
          <cell r="E140">
            <v>7</v>
          </cell>
          <cell r="F140">
            <v>620</v>
          </cell>
        </row>
        <row r="141">
          <cell r="B141">
            <v>104</v>
          </cell>
          <cell r="C141">
            <v>3</v>
          </cell>
          <cell r="D141">
            <v>0</v>
          </cell>
          <cell r="E141">
            <v>1</v>
          </cell>
          <cell r="F141">
            <v>100</v>
          </cell>
        </row>
        <row r="142">
          <cell r="B142">
            <v>8</v>
          </cell>
          <cell r="C142">
            <v>0</v>
          </cell>
          <cell r="D142">
            <v>0</v>
          </cell>
          <cell r="E142">
            <v>0</v>
          </cell>
          <cell r="F142">
            <v>8</v>
          </cell>
        </row>
        <row r="143">
          <cell r="B143">
            <v>98</v>
          </cell>
          <cell r="C143">
            <v>3</v>
          </cell>
          <cell r="D143">
            <v>0</v>
          </cell>
          <cell r="E143">
            <v>3</v>
          </cell>
          <cell r="F143">
            <v>92</v>
          </cell>
        </row>
        <row r="144">
          <cell r="B144">
            <v>104</v>
          </cell>
          <cell r="C144">
            <v>3</v>
          </cell>
          <cell r="D144">
            <v>0</v>
          </cell>
          <cell r="E144">
            <v>1</v>
          </cell>
          <cell r="F144">
            <v>100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3SF"/>
      <sheetName val="113 - 130801- Aug 13"/>
    </sheetNames>
    <sheetDataSet>
      <sheetData sheetId="0">
        <row r="33">
          <cell r="B33">
            <v>713</v>
          </cell>
          <cell r="C33">
            <v>1</v>
          </cell>
          <cell r="D33">
            <v>55</v>
          </cell>
          <cell r="E33">
            <v>22</v>
          </cell>
          <cell r="F33">
            <v>635</v>
          </cell>
        </row>
        <row r="34">
          <cell r="B34">
            <v>37</v>
          </cell>
          <cell r="C34">
            <v>0</v>
          </cell>
          <cell r="D34">
            <v>3</v>
          </cell>
          <cell r="E34">
            <v>4</v>
          </cell>
          <cell r="F34">
            <v>30</v>
          </cell>
        </row>
        <row r="35">
          <cell r="B35">
            <v>417</v>
          </cell>
          <cell r="C35">
            <v>0</v>
          </cell>
          <cell r="D35">
            <v>47</v>
          </cell>
          <cell r="E35">
            <v>12</v>
          </cell>
          <cell r="F35">
            <v>358</v>
          </cell>
        </row>
        <row r="36">
          <cell r="B36">
            <v>536</v>
          </cell>
          <cell r="C36">
            <v>1</v>
          </cell>
          <cell r="D36">
            <v>10</v>
          </cell>
          <cell r="E36">
            <v>13</v>
          </cell>
          <cell r="F36">
            <v>512</v>
          </cell>
        </row>
        <row r="37">
          <cell r="B37">
            <v>284</v>
          </cell>
          <cell r="C37">
            <v>0</v>
          </cell>
          <cell r="D37">
            <v>6</v>
          </cell>
          <cell r="E37">
            <v>5</v>
          </cell>
          <cell r="F37">
            <v>273</v>
          </cell>
        </row>
        <row r="38">
          <cell r="B38">
            <v>713</v>
          </cell>
          <cell r="C38">
            <v>1</v>
          </cell>
          <cell r="D38">
            <v>55</v>
          </cell>
          <cell r="E38">
            <v>22</v>
          </cell>
          <cell r="F38">
            <v>635</v>
          </cell>
        </row>
        <row r="39">
          <cell r="B39">
            <v>1401</v>
          </cell>
          <cell r="C39">
            <v>0</v>
          </cell>
          <cell r="D39">
            <v>49</v>
          </cell>
          <cell r="E39">
            <v>15</v>
          </cell>
          <cell r="F39">
            <v>1337</v>
          </cell>
        </row>
        <row r="40">
          <cell r="B40">
            <v>163</v>
          </cell>
          <cell r="C40">
            <v>0</v>
          </cell>
          <cell r="D40">
            <v>0</v>
          </cell>
          <cell r="E40">
            <v>1</v>
          </cell>
          <cell r="F40">
            <v>162</v>
          </cell>
        </row>
        <row r="41">
          <cell r="B41">
            <v>89</v>
          </cell>
          <cell r="C41">
            <v>0</v>
          </cell>
          <cell r="D41">
            <v>0</v>
          </cell>
          <cell r="E41">
            <v>0</v>
          </cell>
          <cell r="F41">
            <v>89</v>
          </cell>
        </row>
        <row r="42">
          <cell r="B42">
            <v>1401</v>
          </cell>
          <cell r="C42">
            <v>0</v>
          </cell>
          <cell r="D42">
            <v>49</v>
          </cell>
          <cell r="E42">
            <v>15</v>
          </cell>
          <cell r="F42">
            <v>1337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135">
          <cell r="B135">
            <v>650</v>
          </cell>
          <cell r="C135">
            <v>17</v>
          </cell>
          <cell r="D135">
            <v>0</v>
          </cell>
          <cell r="E135">
            <v>7</v>
          </cell>
          <cell r="F135">
            <v>626</v>
          </cell>
        </row>
        <row r="136"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</row>
        <row r="137">
          <cell r="B137">
            <v>343</v>
          </cell>
          <cell r="C137">
            <v>6</v>
          </cell>
          <cell r="D137">
            <v>0</v>
          </cell>
          <cell r="E137">
            <v>5</v>
          </cell>
          <cell r="F137">
            <v>332</v>
          </cell>
        </row>
        <row r="138">
          <cell r="B138">
            <v>1</v>
          </cell>
          <cell r="C138">
            <v>0</v>
          </cell>
          <cell r="D138">
            <v>0</v>
          </cell>
          <cell r="E138">
            <v>0</v>
          </cell>
          <cell r="F138">
            <v>1</v>
          </cell>
        </row>
        <row r="139">
          <cell r="B139">
            <v>1</v>
          </cell>
          <cell r="C139">
            <v>0</v>
          </cell>
          <cell r="D139">
            <v>0</v>
          </cell>
          <cell r="E139">
            <v>0</v>
          </cell>
          <cell r="F139">
            <v>1</v>
          </cell>
        </row>
        <row r="140">
          <cell r="B140">
            <v>650</v>
          </cell>
          <cell r="C140">
            <v>17</v>
          </cell>
          <cell r="D140">
            <v>0</v>
          </cell>
          <cell r="E140">
            <v>7</v>
          </cell>
          <cell r="F140">
            <v>626</v>
          </cell>
        </row>
        <row r="141">
          <cell r="B141">
            <v>944</v>
          </cell>
          <cell r="C141">
            <v>21</v>
          </cell>
          <cell r="D141">
            <v>0</v>
          </cell>
          <cell r="E141">
            <v>14</v>
          </cell>
          <cell r="F141">
            <v>909</v>
          </cell>
        </row>
        <row r="142">
          <cell r="B142">
            <v>8</v>
          </cell>
          <cell r="C142">
            <v>1</v>
          </cell>
          <cell r="D142">
            <v>0</v>
          </cell>
          <cell r="E142">
            <v>0</v>
          </cell>
          <cell r="F142">
            <v>7</v>
          </cell>
        </row>
        <row r="143">
          <cell r="B143">
            <v>158</v>
          </cell>
          <cell r="C143">
            <v>0</v>
          </cell>
          <cell r="D143">
            <v>0</v>
          </cell>
          <cell r="E143">
            <v>4</v>
          </cell>
          <cell r="F143">
            <v>154</v>
          </cell>
        </row>
        <row r="144">
          <cell r="B144">
            <v>944</v>
          </cell>
          <cell r="C144">
            <v>21</v>
          </cell>
          <cell r="D144">
            <v>0</v>
          </cell>
          <cell r="E144">
            <v>14</v>
          </cell>
          <cell r="F144">
            <v>909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4"/>
  <sheetViews>
    <sheetView showGridLines="0" tabSelected="1" defaultGridColor="0" colorId="8" zoomScaleNormal="100" workbookViewId="0">
      <selection activeCell="E69" sqref="E69"/>
    </sheetView>
  </sheetViews>
  <sheetFormatPr defaultColWidth="9.140625" defaultRowHeight="12.75" x14ac:dyDescent="0.2"/>
  <cols>
    <col min="1" max="1" width="38.5703125" style="77" customWidth="1"/>
    <col min="2" max="2" width="9.42578125" style="59" customWidth="1"/>
    <col min="3" max="3" width="10" style="59" customWidth="1"/>
    <col min="4" max="4" width="10.140625" style="59" customWidth="1"/>
    <col min="5" max="5" width="10.42578125" style="59" customWidth="1"/>
    <col min="6" max="6" width="11.140625" style="59" customWidth="1"/>
    <col min="7" max="7" width="8.7109375" style="8" customWidth="1"/>
    <col min="8" max="8" width="8.28515625" style="9" customWidth="1"/>
  </cols>
  <sheetData>
    <row r="1" spans="1:9" s="12" customFormat="1" ht="21.75" customHeight="1" thickBot="1" x14ac:dyDescent="0.4">
      <c r="A1" s="11" t="s">
        <v>0</v>
      </c>
      <c r="B1" s="56"/>
      <c r="C1" s="56"/>
      <c r="D1" s="56"/>
      <c r="E1" s="56"/>
      <c r="F1" s="57"/>
      <c r="G1" s="13"/>
      <c r="H1" s="14"/>
    </row>
    <row r="2" spans="1:9" ht="15" customHeight="1" x14ac:dyDescent="0.2">
      <c r="A2" s="15" t="s">
        <v>1</v>
      </c>
      <c r="B2" s="16" t="s">
        <v>2</v>
      </c>
      <c r="C2" s="17" t="s">
        <v>3</v>
      </c>
      <c r="D2" s="17"/>
      <c r="E2" s="18"/>
      <c r="F2" s="19" t="s">
        <v>4</v>
      </c>
    </row>
    <row r="3" spans="1:9" ht="14.25" customHeight="1" thickBot="1" x14ac:dyDescent="0.25">
      <c r="A3" s="58" t="s">
        <v>95</v>
      </c>
      <c r="B3" s="53"/>
      <c r="E3" s="60"/>
      <c r="F3" s="60"/>
    </row>
    <row r="4" spans="1:9" ht="14.25" customHeight="1" thickBot="1" x14ac:dyDescent="0.25">
      <c r="A4" s="20" t="s">
        <v>5</v>
      </c>
      <c r="B4" s="61"/>
      <c r="C4" s="61"/>
      <c r="D4" s="61"/>
      <c r="E4" s="61"/>
      <c r="F4" s="62"/>
    </row>
    <row r="5" spans="1:9" x14ac:dyDescent="0.2">
      <c r="A5" s="21" t="s">
        <v>6</v>
      </c>
      <c r="B5" s="22" t="s">
        <v>7</v>
      </c>
      <c r="C5" s="23"/>
      <c r="D5" s="24"/>
      <c r="E5" s="24" t="s">
        <v>8</v>
      </c>
      <c r="F5" s="63"/>
    </row>
    <row r="6" spans="1:9" x14ac:dyDescent="0.2">
      <c r="A6" s="64"/>
      <c r="B6" s="25" t="s">
        <v>9</v>
      </c>
      <c r="C6" s="26" t="s">
        <v>10</v>
      </c>
      <c r="D6" s="27" t="s">
        <v>11</v>
      </c>
      <c r="E6" s="28"/>
      <c r="F6" s="57"/>
    </row>
    <row r="7" spans="1:9" s="31" customFormat="1" ht="13.5" thickBot="1" x14ac:dyDescent="0.25">
      <c r="A7" s="65">
        <v>41547</v>
      </c>
      <c r="B7" s="66"/>
      <c r="C7" s="67"/>
      <c r="D7" s="68">
        <v>41456</v>
      </c>
      <c r="E7" s="67"/>
      <c r="F7" s="69">
        <f>A7</f>
        <v>41547</v>
      </c>
      <c r="G7" s="29"/>
      <c r="H7" s="30"/>
    </row>
    <row r="8" spans="1:9" ht="14.25" thickTop="1" thickBot="1" x14ac:dyDescent="0.25">
      <c r="A8" s="70"/>
      <c r="B8" s="71"/>
      <c r="C8" s="72" t="s">
        <v>12</v>
      </c>
      <c r="D8" s="73"/>
      <c r="E8" s="74" t="s">
        <v>13</v>
      </c>
      <c r="F8" s="72"/>
      <c r="I8" s="32"/>
    </row>
    <row r="9" spans="1:9" x14ac:dyDescent="0.2">
      <c r="A9" s="75" t="s">
        <v>14</v>
      </c>
      <c r="B9" s="53" t="s">
        <v>15</v>
      </c>
      <c r="C9" s="62" t="s">
        <v>16</v>
      </c>
      <c r="D9" s="61" t="s">
        <v>17</v>
      </c>
      <c r="E9" s="76" t="s">
        <v>18</v>
      </c>
      <c r="F9" s="62" t="s">
        <v>19</v>
      </c>
      <c r="I9" s="32"/>
    </row>
    <row r="10" spans="1:9" x14ac:dyDescent="0.2">
      <c r="A10" s="75" t="s">
        <v>20</v>
      </c>
      <c r="B10" s="53" t="s">
        <v>21</v>
      </c>
      <c r="C10" s="53" t="s">
        <v>22</v>
      </c>
      <c r="D10" s="59" t="s">
        <v>23</v>
      </c>
      <c r="E10" s="54" t="s">
        <v>24</v>
      </c>
      <c r="F10" s="60" t="s">
        <v>24</v>
      </c>
      <c r="I10" s="32"/>
    </row>
    <row r="11" spans="1:9" ht="13.5" thickBot="1" x14ac:dyDescent="0.25">
      <c r="B11" s="78" t="s">
        <v>25</v>
      </c>
      <c r="C11" s="79" t="s">
        <v>26</v>
      </c>
      <c r="D11" s="80" t="s">
        <v>27</v>
      </c>
      <c r="E11" s="81" t="s">
        <v>28</v>
      </c>
      <c r="F11" s="79" t="s">
        <v>29</v>
      </c>
      <c r="I11" s="32"/>
    </row>
    <row r="12" spans="1:9" ht="13.5" thickBot="1" x14ac:dyDescent="0.25">
      <c r="A12" s="1" t="s">
        <v>30</v>
      </c>
      <c r="B12" s="82"/>
      <c r="C12" s="82"/>
      <c r="D12" s="82"/>
      <c r="E12" s="82"/>
      <c r="F12" s="83"/>
      <c r="I12" s="32"/>
    </row>
    <row r="13" spans="1:9" s="5" customFormat="1" ht="12.75" customHeight="1" x14ac:dyDescent="0.2">
      <c r="A13" s="77" t="s">
        <v>31</v>
      </c>
      <c r="B13" s="52">
        <f>'[1]113SF'!B13</f>
        <v>145529</v>
      </c>
      <c r="C13" s="48">
        <f>'[1]113SF'!C13</f>
        <v>107</v>
      </c>
      <c r="D13" s="48">
        <f>'[1]113SF'!D13</f>
        <v>5541</v>
      </c>
      <c r="E13" s="48">
        <f>'[1]113SF'!E13</f>
        <v>5279</v>
      </c>
      <c r="F13" s="48">
        <f>'[1]113SF'!F13</f>
        <v>134602</v>
      </c>
      <c r="G13" s="3"/>
      <c r="H13" s="4"/>
    </row>
    <row r="14" spans="1:9" ht="12.75" customHeight="1" x14ac:dyDescent="0.2">
      <c r="A14" s="77" t="s">
        <v>32</v>
      </c>
      <c r="B14" s="52">
        <f>'[1]113SF'!B14</f>
        <v>145044</v>
      </c>
      <c r="C14" s="48">
        <f>'[1]113SF'!C14</f>
        <v>107</v>
      </c>
      <c r="D14" s="48">
        <f>'[1]113SF'!D14</f>
        <v>5528</v>
      </c>
      <c r="E14" s="48">
        <f>'[1]113SF'!E14</f>
        <v>5271</v>
      </c>
      <c r="F14" s="48">
        <f>'[1]113SF'!F14</f>
        <v>134138</v>
      </c>
      <c r="G14" s="3"/>
      <c r="H14" s="4"/>
    </row>
    <row r="15" spans="1:9" s="6" customFormat="1" ht="12.75" customHeight="1" x14ac:dyDescent="0.2">
      <c r="A15" s="77" t="s">
        <v>33</v>
      </c>
      <c r="B15" s="52">
        <f>'[1]113SF'!B15</f>
        <v>144627</v>
      </c>
      <c r="C15" s="48">
        <f>'[1]113SF'!C15</f>
        <v>106</v>
      </c>
      <c r="D15" s="48">
        <f>'[1]113SF'!D15</f>
        <v>5482</v>
      </c>
      <c r="E15" s="48">
        <f>'[1]113SF'!E15</f>
        <v>5263</v>
      </c>
      <c r="F15" s="48">
        <f>'[1]113SF'!F15</f>
        <v>133776</v>
      </c>
      <c r="G15" s="50"/>
      <c r="H15" s="4"/>
    </row>
    <row r="16" spans="1:9" x14ac:dyDescent="0.2">
      <c r="A16" s="77" t="s">
        <v>34</v>
      </c>
      <c r="B16" s="52">
        <f>'[1]113SF'!B16</f>
        <v>144150</v>
      </c>
      <c r="C16" s="48">
        <f>'[1]113SF'!C16</f>
        <v>106</v>
      </c>
      <c r="D16" s="48">
        <f>'[1]113SF'!D16</f>
        <v>5469</v>
      </c>
      <c r="E16" s="48">
        <f>'[1]113SF'!E16</f>
        <v>5255</v>
      </c>
      <c r="F16" s="48">
        <f>'[1]113SF'!F16</f>
        <v>133320</v>
      </c>
      <c r="G16" s="3"/>
      <c r="H16" s="4"/>
    </row>
    <row r="17" spans="1:12" x14ac:dyDescent="0.2">
      <c r="A17" s="77" t="s">
        <v>35</v>
      </c>
      <c r="B17" s="52">
        <f>'[1]113SF'!B17</f>
        <v>139187</v>
      </c>
      <c r="C17" s="48">
        <f>'[1]113SF'!C17</f>
        <v>105</v>
      </c>
      <c r="D17" s="48">
        <f>'[1]113SF'!D17</f>
        <v>2592</v>
      </c>
      <c r="E17" s="48">
        <f>'[1]113SF'!E17</f>
        <v>5202</v>
      </c>
      <c r="F17" s="48">
        <f>'[1]113SF'!F17</f>
        <v>131288</v>
      </c>
      <c r="G17" s="3"/>
      <c r="H17" s="4"/>
      <c r="K17" s="33"/>
    </row>
    <row r="18" spans="1:12" s="5" customFormat="1" x14ac:dyDescent="0.2">
      <c r="A18" s="77" t="s">
        <v>71</v>
      </c>
      <c r="B18" s="52">
        <f>'[1]113SF'!B18</f>
        <v>885</v>
      </c>
      <c r="C18" s="48">
        <f>'[1]113SF'!C18</f>
        <v>1</v>
      </c>
      <c r="D18" s="48">
        <f>'[1]113SF'!D18</f>
        <v>59</v>
      </c>
      <c r="E18" s="48">
        <f>'[1]113SF'!E18</f>
        <v>16</v>
      </c>
      <c r="F18" s="48">
        <f>'[1]113SF'!F18</f>
        <v>809</v>
      </c>
      <c r="G18" s="49"/>
      <c r="H18" s="4"/>
    </row>
    <row r="19" spans="1:12" x14ac:dyDescent="0.2">
      <c r="A19" s="77" t="s">
        <v>72</v>
      </c>
      <c r="B19" s="52">
        <f>'[1]113SF'!B19</f>
        <v>748</v>
      </c>
      <c r="C19" s="48">
        <f>'[1]113SF'!C19</f>
        <v>1</v>
      </c>
      <c r="D19" s="48">
        <f>'[1]113SF'!D19</f>
        <v>3</v>
      </c>
      <c r="E19" s="48">
        <f>'[1]113SF'!E19</f>
        <v>13</v>
      </c>
      <c r="F19" s="48">
        <f>'[1]113SF'!F19</f>
        <v>731</v>
      </c>
      <c r="G19" s="3"/>
      <c r="H19" s="4"/>
      <c r="K19" s="33"/>
    </row>
    <row r="20" spans="1:12" s="6" customFormat="1" x14ac:dyDescent="0.2">
      <c r="A20" s="77" t="s">
        <v>37</v>
      </c>
      <c r="B20" s="52">
        <f>'[1]113SF'!B20</f>
        <v>17</v>
      </c>
      <c r="C20" s="48">
        <f>'[1]113SF'!C20</f>
        <v>0</v>
      </c>
      <c r="D20" s="48">
        <f>'[1]113SF'!D20</f>
        <v>0</v>
      </c>
      <c r="E20" s="48">
        <f>'[1]113SF'!E20</f>
        <v>0</v>
      </c>
      <c r="F20" s="48">
        <f>'[1]113SF'!F20</f>
        <v>17</v>
      </c>
      <c r="G20" s="3"/>
      <c r="H20" s="4"/>
      <c r="J20" s="7"/>
      <c r="K20" s="7"/>
    </row>
    <row r="21" spans="1:12" x14ac:dyDescent="0.2">
      <c r="A21" s="77" t="s">
        <v>38</v>
      </c>
      <c r="B21" s="52">
        <f>'[1]113SF'!B21</f>
        <v>132745</v>
      </c>
      <c r="C21" s="48">
        <f>'[1]113SF'!C21</f>
        <v>105</v>
      </c>
      <c r="D21" s="48">
        <f>'[1]113SF'!D21</f>
        <v>2168</v>
      </c>
      <c r="E21" s="48">
        <f>'[1]113SF'!E21</f>
        <v>4169</v>
      </c>
      <c r="F21" s="48">
        <f>'[1]113SF'!F21</f>
        <v>126303</v>
      </c>
    </row>
    <row r="22" spans="1:12" x14ac:dyDescent="0.2">
      <c r="A22" s="77" t="s">
        <v>39</v>
      </c>
      <c r="B22" s="52">
        <f>'[1]113SF'!B22</f>
        <v>130781</v>
      </c>
      <c r="C22" s="48">
        <f>'[1]113SF'!C22</f>
        <v>104</v>
      </c>
      <c r="D22" s="48">
        <f>'[1]113SF'!D22</f>
        <v>2147</v>
      </c>
      <c r="E22" s="48">
        <f>'[1]113SF'!E22</f>
        <v>4135</v>
      </c>
      <c r="F22" s="48">
        <f>'[1]113SF'!F22</f>
        <v>124395</v>
      </c>
      <c r="K22" s="33"/>
    </row>
    <row r="23" spans="1:12" x14ac:dyDescent="0.2">
      <c r="A23" s="77" t="s">
        <v>40</v>
      </c>
      <c r="B23" s="52">
        <f>'[1]113SF'!B23</f>
        <v>12784</v>
      </c>
      <c r="C23" s="48">
        <f>'[1]113SF'!C23</f>
        <v>2</v>
      </c>
      <c r="D23" s="48">
        <f>'[1]113SF'!D23</f>
        <v>3373</v>
      </c>
      <c r="E23" s="48">
        <f>'[1]113SF'!E23</f>
        <v>1110</v>
      </c>
      <c r="F23" s="48">
        <f>'[1]113SF'!F23</f>
        <v>8299</v>
      </c>
    </row>
    <row r="24" spans="1:12" x14ac:dyDescent="0.2">
      <c r="A24" s="77" t="s">
        <v>41</v>
      </c>
      <c r="B24" s="52">
        <f>'[1]113SF'!B24</f>
        <v>9163</v>
      </c>
      <c r="C24" s="48">
        <f>'[1]113SF'!C24</f>
        <v>2</v>
      </c>
      <c r="D24" s="48">
        <f>'[1]113SF'!D24</f>
        <v>448</v>
      </c>
      <c r="E24" s="48">
        <f>'[1]113SF'!E24</f>
        <v>1080</v>
      </c>
      <c r="F24" s="48">
        <f>'[1]113SF'!F24</f>
        <v>7633</v>
      </c>
      <c r="K24" s="33"/>
    </row>
    <row r="25" spans="1:12" x14ac:dyDescent="0.2">
      <c r="A25" s="77" t="s">
        <v>42</v>
      </c>
      <c r="B25" s="52">
        <f>'[1]113SF'!B25</f>
        <v>30893</v>
      </c>
      <c r="C25" s="48">
        <f>'[1]113SF'!C25</f>
        <v>18</v>
      </c>
      <c r="D25" s="48">
        <f>'[1]113SF'!D25</f>
        <v>180</v>
      </c>
      <c r="E25" s="48">
        <f>'[1]113SF'!E25</f>
        <v>165</v>
      </c>
      <c r="F25" s="48">
        <f>'[1]113SF'!F25</f>
        <v>30530</v>
      </c>
      <c r="J25" s="7"/>
      <c r="K25" s="7"/>
    </row>
    <row r="26" spans="1:12" x14ac:dyDescent="0.2">
      <c r="A26" s="77" t="s">
        <v>43</v>
      </c>
      <c r="B26" s="52">
        <f>'[1]113SF'!B26</f>
        <v>143278</v>
      </c>
      <c r="C26" s="48">
        <f>'[1]113SF'!C26</f>
        <v>107</v>
      </c>
      <c r="D26" s="48">
        <f>'[1]113SF'!D26</f>
        <v>3293</v>
      </c>
      <c r="E26" s="48">
        <f>'[1]113SF'!E26</f>
        <v>5279</v>
      </c>
      <c r="F26" s="48">
        <f>'[1]113SF'!F26</f>
        <v>134599</v>
      </c>
      <c r="J26" s="10"/>
      <c r="K26" s="10"/>
    </row>
    <row r="27" spans="1:12" x14ac:dyDescent="0.2">
      <c r="A27" s="77" t="s">
        <v>44</v>
      </c>
      <c r="B27" s="52">
        <f>'[1]113SF'!B27</f>
        <v>2251</v>
      </c>
      <c r="C27" s="48">
        <f>'[1]113SF'!C27</f>
        <v>0</v>
      </c>
      <c r="D27" s="48">
        <f>'[1]113SF'!D27</f>
        <v>2248</v>
      </c>
      <c r="E27" s="48">
        <f>'[1]113SF'!E27</f>
        <v>0</v>
      </c>
      <c r="F27" s="48">
        <f>'[1]113SF'!F27</f>
        <v>3</v>
      </c>
    </row>
    <row r="28" spans="1:12" ht="13.5" thickBot="1" x14ac:dyDescent="0.25">
      <c r="A28" s="77" t="s">
        <v>45</v>
      </c>
      <c r="B28" s="52">
        <f>'[1]113SF'!B28</f>
        <v>83</v>
      </c>
      <c r="C28" s="48">
        <f>'[1]113SF'!C28</f>
        <v>0</v>
      </c>
      <c r="D28" s="48">
        <f>'[1]113SF'!D28</f>
        <v>0</v>
      </c>
      <c r="E28" s="48">
        <f>'[1]113SF'!E28</f>
        <v>3</v>
      </c>
      <c r="F28" s="48">
        <f>'[1]113SF'!F28</f>
        <v>80</v>
      </c>
    </row>
    <row r="29" spans="1:12" ht="13.5" thickBot="1" x14ac:dyDescent="0.25">
      <c r="A29" s="1" t="s">
        <v>46</v>
      </c>
      <c r="B29" s="82"/>
      <c r="C29" s="82"/>
      <c r="D29" s="82"/>
      <c r="E29" s="82"/>
      <c r="F29" s="83"/>
      <c r="I29" s="9"/>
      <c r="J29" s="9"/>
      <c r="K29" s="9"/>
      <c r="L29" s="9"/>
    </row>
    <row r="30" spans="1:12" x14ac:dyDescent="0.2">
      <c r="A30" s="77" t="s">
        <v>47</v>
      </c>
      <c r="B30" s="53"/>
      <c r="C30" s="54"/>
      <c r="D30" s="54"/>
      <c r="E30" s="54"/>
      <c r="F30" s="54"/>
      <c r="I30" s="9"/>
      <c r="J30" s="9"/>
      <c r="K30" s="9"/>
      <c r="L30" s="9"/>
    </row>
    <row r="31" spans="1:12" ht="13.5" thickBot="1" x14ac:dyDescent="0.25">
      <c r="A31" s="77" t="s">
        <v>48</v>
      </c>
      <c r="B31" s="53"/>
      <c r="C31" s="60"/>
      <c r="D31" s="84"/>
      <c r="E31" s="60"/>
      <c r="F31" s="60"/>
    </row>
    <row r="32" spans="1:12" ht="13.5" thickBot="1" x14ac:dyDescent="0.25">
      <c r="A32" s="1" t="s">
        <v>49</v>
      </c>
      <c r="B32" s="82"/>
      <c r="C32" s="82"/>
      <c r="D32" s="82"/>
      <c r="E32" s="82"/>
      <c r="F32" s="83"/>
    </row>
    <row r="33" spans="1:6" x14ac:dyDescent="0.2">
      <c r="A33" s="77" t="s">
        <v>50</v>
      </c>
      <c r="B33" s="52">
        <f>'[2]113SF'!B33+'[3]113SF'!B33+'[1]113SF'!B33</f>
        <v>2501</v>
      </c>
      <c r="C33" s="52">
        <f>'[2]113SF'!C33+'[3]113SF'!C33+'[1]113SF'!C33</f>
        <v>1</v>
      </c>
      <c r="D33" s="52">
        <f>'[2]113SF'!D33+'[3]113SF'!D33+'[1]113SF'!D33</f>
        <v>160</v>
      </c>
      <c r="E33" s="52">
        <f>'[2]113SF'!E33+'[3]113SF'!E33+'[1]113SF'!E33</f>
        <v>82</v>
      </c>
      <c r="F33" s="52">
        <f>'[2]113SF'!F33+'[3]113SF'!F33+'[1]113SF'!F33</f>
        <v>2258</v>
      </c>
    </row>
    <row r="34" spans="1:6" x14ac:dyDescent="0.2">
      <c r="A34" s="77" t="s">
        <v>51</v>
      </c>
      <c r="B34" s="52">
        <f>'[2]113SF'!B34+'[3]113SF'!B34+'[1]113SF'!B34</f>
        <v>210</v>
      </c>
      <c r="C34" s="52">
        <f>'[2]113SF'!C34+'[3]113SF'!C34+'[1]113SF'!C34</f>
        <v>0</v>
      </c>
      <c r="D34" s="52">
        <f>'[2]113SF'!D34+'[3]113SF'!D34+'[1]113SF'!D34</f>
        <v>11</v>
      </c>
      <c r="E34" s="52">
        <f>'[2]113SF'!E34+'[3]113SF'!E34+'[1]113SF'!E34</f>
        <v>13</v>
      </c>
      <c r="F34" s="52">
        <f>'[2]113SF'!F34+'[3]113SF'!F34+'[1]113SF'!F34</f>
        <v>186</v>
      </c>
    </row>
    <row r="35" spans="1:6" x14ac:dyDescent="0.2">
      <c r="A35" s="77" t="s">
        <v>52</v>
      </c>
      <c r="B35" s="52">
        <f>'[2]113SF'!B35+'[3]113SF'!B35+'[1]113SF'!B35</f>
        <v>1500</v>
      </c>
      <c r="C35" s="52">
        <f>'[2]113SF'!C35+'[3]113SF'!C35+'[1]113SF'!C35</f>
        <v>0</v>
      </c>
      <c r="D35" s="52">
        <f>'[2]113SF'!D35+'[3]113SF'!D35+'[1]113SF'!D35</f>
        <v>128</v>
      </c>
      <c r="E35" s="52">
        <f>'[2]113SF'!E35+'[3]113SF'!E35+'[1]113SF'!E35</f>
        <v>53</v>
      </c>
      <c r="F35" s="52">
        <f>'[2]113SF'!F35+'[3]113SF'!F35+'[1]113SF'!F35</f>
        <v>1319</v>
      </c>
    </row>
    <row r="36" spans="1:6" x14ac:dyDescent="0.2">
      <c r="A36" s="77" t="s">
        <v>53</v>
      </c>
      <c r="B36" s="52">
        <f>'[2]113SF'!B36+'[3]113SF'!B36+'[1]113SF'!B36</f>
        <v>1940</v>
      </c>
      <c r="C36" s="52">
        <f>'[2]113SF'!C36+'[3]113SF'!C36+'[1]113SF'!C36</f>
        <v>1</v>
      </c>
      <c r="D36" s="52">
        <f>'[2]113SF'!D36+'[3]113SF'!D36+'[1]113SF'!D36</f>
        <v>49</v>
      </c>
      <c r="E36" s="52">
        <f>'[2]113SF'!E36+'[3]113SF'!E36+'[1]113SF'!E36</f>
        <v>50</v>
      </c>
      <c r="F36" s="52">
        <f>'[2]113SF'!F36+'[3]113SF'!F36+'[1]113SF'!F36</f>
        <v>1840</v>
      </c>
    </row>
    <row r="37" spans="1:6" x14ac:dyDescent="0.2">
      <c r="A37" s="77" t="s">
        <v>54</v>
      </c>
      <c r="B37" s="52">
        <f>'[2]113SF'!B37+'[3]113SF'!B37+'[1]113SF'!B37</f>
        <v>1039</v>
      </c>
      <c r="C37" s="52">
        <f>'[2]113SF'!C37+'[3]113SF'!C37+'[1]113SF'!C37</f>
        <v>0</v>
      </c>
      <c r="D37" s="52">
        <f>'[2]113SF'!D37+'[3]113SF'!D37+'[1]113SF'!D37</f>
        <v>25</v>
      </c>
      <c r="E37" s="52">
        <f>'[2]113SF'!E37+'[3]113SF'!E37+'[1]113SF'!E37</f>
        <v>24</v>
      </c>
      <c r="F37" s="52">
        <f>'[2]113SF'!F37+'[3]113SF'!F37+'[1]113SF'!F37</f>
        <v>990</v>
      </c>
    </row>
    <row r="38" spans="1:6" x14ac:dyDescent="0.2">
      <c r="A38" s="77" t="s">
        <v>55</v>
      </c>
      <c r="B38" s="52">
        <f>'[2]113SF'!B38+'[3]113SF'!B38+'[1]113SF'!B38</f>
        <v>2501</v>
      </c>
      <c r="C38" s="52">
        <f>'[2]113SF'!C38+'[3]113SF'!C38+'[1]113SF'!C38</f>
        <v>1</v>
      </c>
      <c r="D38" s="52">
        <f>'[2]113SF'!D38+'[3]113SF'!D38+'[1]113SF'!D38</f>
        <v>160</v>
      </c>
      <c r="E38" s="52">
        <f>'[2]113SF'!E38+'[3]113SF'!E38+'[1]113SF'!E38</f>
        <v>82</v>
      </c>
      <c r="F38" s="52">
        <f>'[2]113SF'!F38+'[3]113SF'!F38+'[1]113SF'!F38</f>
        <v>2258</v>
      </c>
    </row>
    <row r="39" spans="1:6" x14ac:dyDescent="0.2">
      <c r="A39" s="77" t="s">
        <v>56</v>
      </c>
      <c r="B39" s="52">
        <f>'[2]113SF'!B39+'[3]113SF'!B39+'[1]113SF'!B39</f>
        <v>4004</v>
      </c>
      <c r="C39" s="52">
        <f>'[2]113SF'!C39+'[3]113SF'!C39+'[1]113SF'!C39</f>
        <v>0</v>
      </c>
      <c r="D39" s="52">
        <f>'[2]113SF'!D39+'[3]113SF'!D39+'[1]113SF'!D39</f>
        <v>98</v>
      </c>
      <c r="E39" s="52">
        <f>'[2]113SF'!E39+'[3]113SF'!E39+'[1]113SF'!E39</f>
        <v>27</v>
      </c>
      <c r="F39" s="52">
        <f>'[2]113SF'!F39+'[3]113SF'!F39+'[1]113SF'!F39</f>
        <v>3879</v>
      </c>
    </row>
    <row r="40" spans="1:6" x14ac:dyDescent="0.2">
      <c r="A40" s="77" t="s">
        <v>57</v>
      </c>
      <c r="B40" s="52">
        <f>'[2]113SF'!B40+'[3]113SF'!B40+'[1]113SF'!B40</f>
        <v>420</v>
      </c>
      <c r="C40" s="52">
        <f>'[2]113SF'!C40+'[3]113SF'!C40+'[1]113SF'!C40</f>
        <v>0</v>
      </c>
      <c r="D40" s="52">
        <f>'[2]113SF'!D40+'[3]113SF'!D40+'[1]113SF'!D40</f>
        <v>1</v>
      </c>
      <c r="E40" s="52">
        <f>'[2]113SF'!E40+'[3]113SF'!E40+'[1]113SF'!E40</f>
        <v>3</v>
      </c>
      <c r="F40" s="52">
        <f>'[2]113SF'!F40+'[3]113SF'!F40+'[1]113SF'!F40</f>
        <v>416</v>
      </c>
    </row>
    <row r="41" spans="1:6" x14ac:dyDescent="0.2">
      <c r="A41" s="77" t="s">
        <v>58</v>
      </c>
      <c r="B41" s="52">
        <f>'[2]113SF'!B41+'[3]113SF'!B41+'[1]113SF'!B41</f>
        <v>229</v>
      </c>
      <c r="C41" s="52">
        <f>'[2]113SF'!C41+'[3]113SF'!C41+'[1]113SF'!C41</f>
        <v>0</v>
      </c>
      <c r="D41" s="52">
        <f>'[2]113SF'!D41+'[3]113SF'!D41+'[1]113SF'!D41</f>
        <v>0</v>
      </c>
      <c r="E41" s="52">
        <f>'[2]113SF'!E41+'[3]113SF'!E41+'[1]113SF'!E41</f>
        <v>1</v>
      </c>
      <c r="F41" s="52">
        <f>'[2]113SF'!F41+'[3]113SF'!F41+'[1]113SF'!F41</f>
        <v>228</v>
      </c>
    </row>
    <row r="42" spans="1:6" ht="13.5" thickBot="1" x14ac:dyDescent="0.25">
      <c r="A42" s="77" t="s">
        <v>59</v>
      </c>
      <c r="B42" s="52">
        <f>'[2]113SF'!B42+'[3]113SF'!B42+'[1]113SF'!B42</f>
        <v>4004</v>
      </c>
      <c r="C42" s="52">
        <f>'[2]113SF'!C42+'[3]113SF'!C42+'[1]113SF'!C42</f>
        <v>0</v>
      </c>
      <c r="D42" s="52">
        <f>'[2]113SF'!D42+'[3]113SF'!D42+'[1]113SF'!D42</f>
        <v>98</v>
      </c>
      <c r="E42" s="52">
        <f>'[2]113SF'!E42+'[3]113SF'!E42+'[1]113SF'!E42</f>
        <v>27</v>
      </c>
      <c r="F42" s="52">
        <f>'[2]113SF'!F42+'[3]113SF'!F42+'[1]113SF'!F42</f>
        <v>3879</v>
      </c>
    </row>
    <row r="43" spans="1:6" ht="13.5" thickBot="1" x14ac:dyDescent="0.25">
      <c r="A43" s="2" t="s">
        <v>60</v>
      </c>
      <c r="B43" s="85"/>
      <c r="C43" s="82"/>
      <c r="D43" s="82"/>
      <c r="E43" s="82"/>
      <c r="F43" s="83"/>
    </row>
    <row r="44" spans="1:6" x14ac:dyDescent="0.2">
      <c r="A44" s="86" t="s">
        <v>61</v>
      </c>
      <c r="B44" s="52">
        <f>'[1]113SF'!B44</f>
        <v>145529</v>
      </c>
      <c r="C44" s="48">
        <f>'[1]113SF'!C44</f>
        <v>107</v>
      </c>
      <c r="D44" s="48">
        <f>'[1]113SF'!D44</f>
        <v>5541</v>
      </c>
      <c r="E44" s="48">
        <f>'[1]113SF'!E44</f>
        <v>5279</v>
      </c>
      <c r="F44" s="48">
        <f>'[1]113SF'!F44</f>
        <v>134602</v>
      </c>
    </row>
    <row r="45" spans="1:6" x14ac:dyDescent="0.2">
      <c r="A45" s="86" t="s">
        <v>62</v>
      </c>
      <c r="B45" s="52">
        <f>'[1]113SF'!B45</f>
        <v>139183</v>
      </c>
      <c r="C45" s="48">
        <f>'[1]113SF'!C45</f>
        <v>105</v>
      </c>
      <c r="D45" s="48">
        <f>'[1]113SF'!D45</f>
        <v>2592</v>
      </c>
      <c r="E45" s="48">
        <f>'[1]113SF'!E45</f>
        <v>5202</v>
      </c>
      <c r="F45" s="48">
        <f>'[1]113SF'!F45</f>
        <v>131284</v>
      </c>
    </row>
    <row r="46" spans="1:6" x14ac:dyDescent="0.2">
      <c r="A46" s="86" t="s">
        <v>63</v>
      </c>
      <c r="B46" s="52">
        <f>'[1]113SF'!B46</f>
        <v>0</v>
      </c>
      <c r="C46" s="48">
        <f>'[1]113SF'!C46</f>
        <v>0</v>
      </c>
      <c r="D46" s="48">
        <f>'[1]113SF'!D46</f>
        <v>0</v>
      </c>
      <c r="E46" s="48">
        <f>'[1]113SF'!E46</f>
        <v>0</v>
      </c>
      <c r="F46" s="48">
        <f>'[1]113SF'!F46</f>
        <v>0</v>
      </c>
    </row>
    <row r="47" spans="1:6" ht="13.5" thickBot="1" x14ac:dyDescent="0.25">
      <c r="A47" s="86" t="s">
        <v>64</v>
      </c>
      <c r="B47" s="52">
        <f>'[1]113SF'!B47</f>
        <v>1</v>
      </c>
      <c r="C47" s="48">
        <f>'[1]113SF'!C47</f>
        <v>0</v>
      </c>
      <c r="D47" s="48">
        <f>'[1]113SF'!D47</f>
        <v>0</v>
      </c>
      <c r="E47" s="48">
        <f>'[1]113SF'!E47</f>
        <v>0</v>
      </c>
      <c r="F47" s="48">
        <f>'[1]113SF'!F47</f>
        <v>1</v>
      </c>
    </row>
    <row r="48" spans="1:6" x14ac:dyDescent="0.2">
      <c r="A48" s="34" t="s">
        <v>65</v>
      </c>
      <c r="B48" s="35" t="s">
        <v>66</v>
      </c>
      <c r="C48" s="17"/>
      <c r="D48" s="35" t="s">
        <v>67</v>
      </c>
      <c r="E48" s="17"/>
      <c r="F48" s="36" t="s">
        <v>68</v>
      </c>
    </row>
    <row r="49" spans="1:9" x14ac:dyDescent="0.2">
      <c r="A49" s="51" t="s">
        <v>93</v>
      </c>
      <c r="B49" s="37" t="s">
        <v>92</v>
      </c>
      <c r="D49" s="38" t="s">
        <v>69</v>
      </c>
      <c r="F49" s="87"/>
    </row>
    <row r="50" spans="1:9" ht="13.5" thickBot="1" x14ac:dyDescent="0.25">
      <c r="A50" s="55" t="s">
        <v>97</v>
      </c>
      <c r="B50" s="39" t="s">
        <v>91</v>
      </c>
      <c r="C50" s="88"/>
      <c r="D50" s="89" t="s">
        <v>99</v>
      </c>
      <c r="E50" s="88"/>
      <c r="F50" s="90">
        <f>'[1]113SF'!F50</f>
        <v>41564</v>
      </c>
      <c r="G50" s="40"/>
    </row>
    <row r="51" spans="1:9" x14ac:dyDescent="0.2">
      <c r="A51" s="59"/>
      <c r="B51" s="91"/>
      <c r="D51" s="91"/>
      <c r="F51" s="92"/>
    </row>
    <row r="52" spans="1:9" ht="20.25" thickBot="1" x14ac:dyDescent="0.4">
      <c r="A52" s="11" t="s">
        <v>0</v>
      </c>
      <c r="B52" s="56"/>
      <c r="C52" s="56"/>
      <c r="D52" s="56"/>
      <c r="E52" s="56"/>
      <c r="F52" s="57"/>
    </row>
    <row r="53" spans="1:9" x14ac:dyDescent="0.2">
      <c r="A53" s="15" t="s">
        <v>1</v>
      </c>
      <c r="B53" s="16" t="s">
        <v>2</v>
      </c>
      <c r="C53" s="17" t="s">
        <v>3</v>
      </c>
      <c r="D53" s="17"/>
      <c r="E53" s="18"/>
      <c r="F53" s="19" t="s">
        <v>4</v>
      </c>
    </row>
    <row r="54" spans="1:9" ht="13.5" thickBot="1" x14ac:dyDescent="0.25">
      <c r="A54" s="58" t="s">
        <v>70</v>
      </c>
      <c r="B54" s="53"/>
      <c r="C54" s="59" t="s">
        <v>36</v>
      </c>
      <c r="E54" s="60"/>
      <c r="F54" s="60"/>
      <c r="I54" s="9"/>
    </row>
    <row r="55" spans="1:9" ht="13.5" thickBot="1" x14ac:dyDescent="0.25">
      <c r="A55" s="20" t="s">
        <v>5</v>
      </c>
      <c r="B55" s="61"/>
      <c r="C55" s="61"/>
      <c r="D55" s="61"/>
      <c r="E55" s="61"/>
      <c r="F55" s="62"/>
      <c r="I55" s="9"/>
    </row>
    <row r="56" spans="1:9" x14ac:dyDescent="0.2">
      <c r="A56" s="21" t="s">
        <v>6</v>
      </c>
      <c r="B56" s="22" t="s">
        <v>7</v>
      </c>
      <c r="C56" s="23"/>
      <c r="D56" s="24"/>
      <c r="E56" s="24" t="s">
        <v>8</v>
      </c>
      <c r="F56" s="63"/>
      <c r="I56" s="9"/>
    </row>
    <row r="57" spans="1:9" x14ac:dyDescent="0.2">
      <c r="A57" s="64"/>
      <c r="B57" s="25" t="s">
        <v>9</v>
      </c>
      <c r="C57" s="26" t="s">
        <v>10</v>
      </c>
      <c r="D57" s="27" t="s">
        <v>11</v>
      </c>
      <c r="E57" s="28"/>
      <c r="F57" s="57"/>
      <c r="I57" s="9"/>
    </row>
    <row r="58" spans="1:9" ht="13.5" thickBot="1" x14ac:dyDescent="0.25">
      <c r="A58" s="65">
        <f>A7</f>
        <v>41547</v>
      </c>
      <c r="B58" s="66"/>
      <c r="C58" s="67"/>
      <c r="D58" s="68">
        <f>D7</f>
        <v>41456</v>
      </c>
      <c r="E58" s="67"/>
      <c r="F58" s="69">
        <f>A58</f>
        <v>41547</v>
      </c>
      <c r="I58" s="9"/>
    </row>
    <row r="59" spans="1:9" ht="14.25" thickTop="1" thickBot="1" x14ac:dyDescent="0.25">
      <c r="A59" s="70"/>
      <c r="B59" s="71"/>
      <c r="C59" s="72" t="s">
        <v>12</v>
      </c>
      <c r="D59" s="73"/>
      <c r="E59" s="74" t="s">
        <v>13</v>
      </c>
      <c r="F59" s="72"/>
      <c r="I59" s="41"/>
    </row>
    <row r="60" spans="1:9" x14ac:dyDescent="0.2">
      <c r="A60" s="75" t="s">
        <v>14</v>
      </c>
      <c r="B60" s="53" t="s">
        <v>15</v>
      </c>
      <c r="C60" s="62" t="s">
        <v>16</v>
      </c>
      <c r="D60" s="61" t="s">
        <v>17</v>
      </c>
      <c r="E60" s="76" t="s">
        <v>18</v>
      </c>
      <c r="F60" s="62" t="s">
        <v>19</v>
      </c>
      <c r="I60" s="41"/>
    </row>
    <row r="61" spans="1:9" x14ac:dyDescent="0.2">
      <c r="A61" s="75" t="s">
        <v>20</v>
      </c>
      <c r="B61" s="53" t="s">
        <v>21</v>
      </c>
      <c r="C61" s="53" t="s">
        <v>22</v>
      </c>
      <c r="D61" s="59" t="s">
        <v>23</v>
      </c>
      <c r="E61" s="54" t="s">
        <v>24</v>
      </c>
      <c r="F61" s="60" t="s">
        <v>24</v>
      </c>
      <c r="I61" s="41"/>
    </row>
    <row r="62" spans="1:9" ht="13.5" thickBot="1" x14ac:dyDescent="0.25">
      <c r="B62" s="78" t="s">
        <v>25</v>
      </c>
      <c r="C62" s="79" t="s">
        <v>26</v>
      </c>
      <c r="D62" s="80" t="s">
        <v>27</v>
      </c>
      <c r="E62" s="81" t="s">
        <v>28</v>
      </c>
      <c r="F62" s="79" t="s">
        <v>29</v>
      </c>
      <c r="I62" s="41"/>
    </row>
    <row r="63" spans="1:9" ht="13.5" thickBot="1" x14ac:dyDescent="0.25">
      <c r="A63" s="1" t="s">
        <v>30</v>
      </c>
      <c r="B63" s="82"/>
      <c r="C63" s="82"/>
      <c r="D63" s="82"/>
      <c r="E63" s="82"/>
      <c r="F63" s="83"/>
      <c r="I63" s="41"/>
    </row>
    <row r="64" spans="1:9" x14ac:dyDescent="0.2">
      <c r="A64" s="77" t="s">
        <v>31</v>
      </c>
      <c r="B64" s="53">
        <f>'[1]113SF'!B64</f>
        <v>1343</v>
      </c>
      <c r="C64" s="54">
        <f>'[1]113SF'!C64</f>
        <v>0</v>
      </c>
      <c r="D64" s="54">
        <f>'[1]113SF'!D64</f>
        <v>0</v>
      </c>
      <c r="E64" s="54">
        <f>'[1]113SF'!E64</f>
        <v>447</v>
      </c>
      <c r="F64" s="54">
        <f>'[1]113SF'!F64</f>
        <v>896</v>
      </c>
    </row>
    <row r="65" spans="1:6" x14ac:dyDescent="0.2">
      <c r="A65" s="77" t="s">
        <v>32</v>
      </c>
      <c r="B65" s="53">
        <f>'[1]113SF'!B65</f>
        <v>1343</v>
      </c>
      <c r="C65" s="54">
        <f>'[1]113SF'!C65</f>
        <v>0</v>
      </c>
      <c r="D65" s="54">
        <f>'[1]113SF'!D65</f>
        <v>0</v>
      </c>
      <c r="E65" s="54">
        <f>'[1]113SF'!E65</f>
        <v>447</v>
      </c>
      <c r="F65" s="54">
        <f>'[1]113SF'!F65</f>
        <v>896</v>
      </c>
    </row>
    <row r="66" spans="1:6" x14ac:dyDescent="0.2">
      <c r="A66" s="77" t="s">
        <v>33</v>
      </c>
      <c r="B66" s="53">
        <f>'[1]113SF'!B66</f>
        <v>1342</v>
      </c>
      <c r="C66" s="54">
        <f>'[1]113SF'!C66</f>
        <v>0</v>
      </c>
      <c r="D66" s="54">
        <f>'[1]113SF'!D66</f>
        <v>0</v>
      </c>
      <c r="E66" s="54">
        <f>'[1]113SF'!E66</f>
        <v>447</v>
      </c>
      <c r="F66" s="54">
        <f>'[1]113SF'!F66</f>
        <v>895</v>
      </c>
    </row>
    <row r="67" spans="1:6" x14ac:dyDescent="0.2">
      <c r="A67" s="77" t="s">
        <v>34</v>
      </c>
      <c r="B67" s="53">
        <f>'[1]113SF'!B67</f>
        <v>1342</v>
      </c>
      <c r="C67" s="54">
        <f>'[1]113SF'!C67</f>
        <v>0</v>
      </c>
      <c r="D67" s="54">
        <f>'[1]113SF'!D67</f>
        <v>0</v>
      </c>
      <c r="E67" s="54">
        <f>'[1]113SF'!E67</f>
        <v>447</v>
      </c>
      <c r="F67" s="54">
        <f>'[1]113SF'!F67</f>
        <v>895</v>
      </c>
    </row>
    <row r="68" spans="1:6" x14ac:dyDescent="0.2">
      <c r="A68" s="77" t="s">
        <v>35</v>
      </c>
      <c r="B68" s="53">
        <f>'[1]113SF'!B68</f>
        <v>1325</v>
      </c>
      <c r="C68" s="54">
        <f>'[1]113SF'!C68</f>
        <v>0</v>
      </c>
      <c r="D68" s="54">
        <f>'[1]113SF'!D68</f>
        <v>0</v>
      </c>
      <c r="E68" s="54">
        <f>'[1]113SF'!E68</f>
        <v>440</v>
      </c>
      <c r="F68" s="54">
        <f>'[1]113SF'!F68</f>
        <v>885</v>
      </c>
    </row>
    <row r="69" spans="1:6" x14ac:dyDescent="0.2">
      <c r="A69" s="77" t="s">
        <v>71</v>
      </c>
      <c r="B69" s="53">
        <f>'[1]113SF'!B69</f>
        <v>1</v>
      </c>
      <c r="C69" s="54">
        <f>'[1]113SF'!C69</f>
        <v>0</v>
      </c>
      <c r="D69" s="54">
        <f>'[1]113SF'!D69</f>
        <v>0</v>
      </c>
      <c r="E69" s="54">
        <f>'[1]113SF'!E69</f>
        <v>0</v>
      </c>
      <c r="F69" s="54">
        <f>'[1]113SF'!F69</f>
        <v>1</v>
      </c>
    </row>
    <row r="70" spans="1:6" x14ac:dyDescent="0.2">
      <c r="A70" s="77" t="s">
        <v>72</v>
      </c>
      <c r="B70" s="53">
        <f>'[1]113SF'!B70</f>
        <v>0</v>
      </c>
      <c r="C70" s="54">
        <f>'[1]113SF'!C70</f>
        <v>0</v>
      </c>
      <c r="D70" s="54">
        <f>'[1]113SF'!D70</f>
        <v>0</v>
      </c>
      <c r="E70" s="54">
        <f>'[1]113SF'!E70</f>
        <v>0</v>
      </c>
      <c r="F70" s="54">
        <f>'[1]113SF'!F70</f>
        <v>0</v>
      </c>
    </row>
    <row r="71" spans="1:6" x14ac:dyDescent="0.2">
      <c r="A71" s="77" t="s">
        <v>37</v>
      </c>
      <c r="B71" s="53">
        <f>'[1]113SF'!B71</f>
        <v>0</v>
      </c>
      <c r="C71" s="54">
        <f>'[1]113SF'!C71</f>
        <v>0</v>
      </c>
      <c r="D71" s="54">
        <f>'[1]113SF'!D71</f>
        <v>0</v>
      </c>
      <c r="E71" s="54">
        <f>'[1]113SF'!E71</f>
        <v>0</v>
      </c>
      <c r="F71" s="54">
        <f>'[1]113SF'!F71</f>
        <v>0</v>
      </c>
    </row>
    <row r="72" spans="1:6" x14ac:dyDescent="0.2">
      <c r="A72" s="77" t="s">
        <v>38</v>
      </c>
      <c r="B72" s="53">
        <f>'[1]113SF'!B72</f>
        <v>1312</v>
      </c>
      <c r="C72" s="54">
        <f>'[1]113SF'!C72</f>
        <v>0</v>
      </c>
      <c r="D72" s="54">
        <f>'[1]113SF'!D72</f>
        <v>0</v>
      </c>
      <c r="E72" s="54">
        <f>'[1]113SF'!E72</f>
        <v>431</v>
      </c>
      <c r="F72" s="54">
        <f>'[1]113SF'!F72</f>
        <v>881</v>
      </c>
    </row>
    <row r="73" spans="1:6" x14ac:dyDescent="0.2">
      <c r="A73" s="77" t="s">
        <v>39</v>
      </c>
      <c r="B73" s="53">
        <f>'[1]113SF'!B73</f>
        <v>1295</v>
      </c>
      <c r="C73" s="54">
        <f>'[1]113SF'!C73</f>
        <v>0</v>
      </c>
      <c r="D73" s="54">
        <f>'[1]113SF'!D73</f>
        <v>0</v>
      </c>
      <c r="E73" s="54">
        <f>'[1]113SF'!E73</f>
        <v>424</v>
      </c>
      <c r="F73" s="54">
        <f>'[1]113SF'!F73</f>
        <v>871</v>
      </c>
    </row>
    <row r="74" spans="1:6" x14ac:dyDescent="0.2">
      <c r="A74" s="77" t="s">
        <v>40</v>
      </c>
      <c r="B74" s="53">
        <f>'[1]113SF'!B74</f>
        <v>31</v>
      </c>
      <c r="C74" s="54">
        <f>'[1]113SF'!C74</f>
        <v>0</v>
      </c>
      <c r="D74" s="54">
        <f>'[1]113SF'!D74</f>
        <v>0</v>
      </c>
      <c r="E74" s="54">
        <f>'[1]113SF'!E74</f>
        <v>16</v>
      </c>
      <c r="F74" s="54">
        <f>'[1]113SF'!F74</f>
        <v>15</v>
      </c>
    </row>
    <row r="75" spans="1:6" x14ac:dyDescent="0.2">
      <c r="A75" s="77" t="s">
        <v>41</v>
      </c>
      <c r="B75" s="53">
        <f>'[1]113SF'!B75</f>
        <v>30</v>
      </c>
      <c r="C75" s="54">
        <f>'[1]113SF'!C75</f>
        <v>0</v>
      </c>
      <c r="D75" s="54">
        <f>'[1]113SF'!D75</f>
        <v>0</v>
      </c>
      <c r="E75" s="54">
        <f>'[1]113SF'!E75</f>
        <v>16</v>
      </c>
      <c r="F75" s="54">
        <f>'[1]113SF'!F75</f>
        <v>14</v>
      </c>
    </row>
    <row r="76" spans="1:6" x14ac:dyDescent="0.2">
      <c r="A76" s="77" t="s">
        <v>42</v>
      </c>
      <c r="B76" s="53">
        <f>'[1]113SF'!B76</f>
        <v>236</v>
      </c>
      <c r="C76" s="54">
        <f>'[1]113SF'!C76</f>
        <v>0</v>
      </c>
      <c r="D76" s="54">
        <f>'[1]113SF'!D76</f>
        <v>0</v>
      </c>
      <c r="E76" s="54">
        <f>'[1]113SF'!E76</f>
        <v>8</v>
      </c>
      <c r="F76" s="54">
        <f>'[1]113SF'!F76</f>
        <v>228</v>
      </c>
    </row>
    <row r="77" spans="1:6" x14ac:dyDescent="0.2">
      <c r="A77" s="77" t="s">
        <v>43</v>
      </c>
      <c r="B77" s="53">
        <f>'[1]113SF'!B77</f>
        <v>1343</v>
      </c>
      <c r="C77" s="54">
        <f>'[1]113SF'!C77</f>
        <v>0</v>
      </c>
      <c r="D77" s="54">
        <f>'[1]113SF'!D77</f>
        <v>0</v>
      </c>
      <c r="E77" s="54">
        <f>'[1]113SF'!E77</f>
        <v>447</v>
      </c>
      <c r="F77" s="54">
        <f>'[1]113SF'!F77</f>
        <v>896</v>
      </c>
    </row>
    <row r="78" spans="1:6" x14ac:dyDescent="0.2">
      <c r="A78" s="77" t="s">
        <v>44</v>
      </c>
      <c r="B78" s="53">
        <f>'[1]113SF'!B78</f>
        <v>0</v>
      </c>
      <c r="C78" s="54">
        <f>'[1]113SF'!C78</f>
        <v>0</v>
      </c>
      <c r="D78" s="54">
        <f>'[1]113SF'!D78</f>
        <v>0</v>
      </c>
      <c r="E78" s="54">
        <f>'[1]113SF'!E78</f>
        <v>0</v>
      </c>
      <c r="F78" s="54">
        <f>'[1]113SF'!F78</f>
        <v>0</v>
      </c>
    </row>
    <row r="79" spans="1:6" ht="13.5" thickBot="1" x14ac:dyDescent="0.25">
      <c r="A79" s="77" t="s">
        <v>45</v>
      </c>
      <c r="B79" s="53">
        <f>'[1]113SF'!B79</f>
        <v>0</v>
      </c>
      <c r="C79" s="54">
        <f>'[1]113SF'!C79</f>
        <v>0</v>
      </c>
      <c r="D79" s="54">
        <f>'[1]113SF'!D79</f>
        <v>0</v>
      </c>
      <c r="E79" s="54">
        <f>'[1]113SF'!E79</f>
        <v>0</v>
      </c>
      <c r="F79" s="54">
        <f>'[1]113SF'!F79</f>
        <v>0</v>
      </c>
    </row>
    <row r="80" spans="1:6" ht="13.5" thickBot="1" x14ac:dyDescent="0.25">
      <c r="A80" s="1" t="s">
        <v>46</v>
      </c>
      <c r="B80" s="82"/>
      <c r="C80" s="82"/>
      <c r="D80" s="82"/>
      <c r="E80" s="82"/>
      <c r="F80" s="83"/>
    </row>
    <row r="81" spans="1:6" x14ac:dyDescent="0.2">
      <c r="A81" s="77" t="s">
        <v>47</v>
      </c>
      <c r="B81" s="53"/>
      <c r="C81" s="60"/>
      <c r="D81" s="60"/>
      <c r="E81" s="60"/>
      <c r="F81" s="60"/>
    </row>
    <row r="82" spans="1:6" ht="13.5" thickBot="1" x14ac:dyDescent="0.25">
      <c r="A82" s="77" t="s">
        <v>48</v>
      </c>
      <c r="B82" s="53"/>
      <c r="C82" s="60"/>
      <c r="D82" s="60"/>
      <c r="E82" s="60"/>
      <c r="F82" s="60"/>
    </row>
    <row r="83" spans="1:6" ht="13.5" thickBot="1" x14ac:dyDescent="0.25">
      <c r="A83" s="1" t="s">
        <v>49</v>
      </c>
      <c r="B83" s="82"/>
      <c r="C83" s="82"/>
      <c r="D83" s="82"/>
      <c r="E83" s="82"/>
      <c r="F83" s="83"/>
    </row>
    <row r="84" spans="1:6" x14ac:dyDescent="0.2">
      <c r="A84" s="77" t="s">
        <v>50</v>
      </c>
      <c r="B84" s="52">
        <f>'[2]113SF'!B84+'[3]113SF'!B84+'[1]113SF'!B84</f>
        <v>0</v>
      </c>
      <c r="C84" s="52">
        <f>'[2]113SF'!C84+'[3]113SF'!C84+'[1]113SF'!C84</f>
        <v>0</v>
      </c>
      <c r="D84" s="52">
        <f>'[2]113SF'!D84+'[3]113SF'!D84+'[1]113SF'!D84</f>
        <v>0</v>
      </c>
      <c r="E84" s="52">
        <f>'[2]113SF'!E84+'[3]113SF'!E84+'[1]113SF'!E84</f>
        <v>0</v>
      </c>
      <c r="F84" s="52">
        <f>'[2]113SF'!F84+'[3]113SF'!F84+'[1]113SF'!F84</f>
        <v>0</v>
      </c>
    </row>
    <row r="85" spans="1:6" x14ac:dyDescent="0.2">
      <c r="A85" s="77" t="s">
        <v>51</v>
      </c>
      <c r="B85" s="52">
        <f>'[2]113SF'!B85+'[3]113SF'!B85+'[1]113SF'!B85</f>
        <v>0</v>
      </c>
      <c r="C85" s="52">
        <f>'[2]113SF'!C85+'[3]113SF'!C85+'[1]113SF'!C85</f>
        <v>0</v>
      </c>
      <c r="D85" s="52">
        <f>'[2]113SF'!D85+'[3]113SF'!D85+'[1]113SF'!D85</f>
        <v>0</v>
      </c>
      <c r="E85" s="52">
        <f>'[2]113SF'!E85+'[3]113SF'!E85+'[1]113SF'!E85</f>
        <v>0</v>
      </c>
      <c r="F85" s="52">
        <f>'[2]113SF'!F85+'[3]113SF'!F85+'[1]113SF'!F85</f>
        <v>0</v>
      </c>
    </row>
    <row r="86" spans="1:6" x14ac:dyDescent="0.2">
      <c r="A86" s="77" t="s">
        <v>52</v>
      </c>
      <c r="B86" s="52">
        <f>'[2]113SF'!B86+'[3]113SF'!B86+'[1]113SF'!B86</f>
        <v>0</v>
      </c>
      <c r="C86" s="52">
        <f>'[2]113SF'!C86+'[3]113SF'!C86+'[1]113SF'!C86</f>
        <v>0</v>
      </c>
      <c r="D86" s="52">
        <f>'[2]113SF'!D86+'[3]113SF'!D86+'[1]113SF'!D86</f>
        <v>0</v>
      </c>
      <c r="E86" s="52">
        <f>'[2]113SF'!E86+'[3]113SF'!E86+'[1]113SF'!E86</f>
        <v>0</v>
      </c>
      <c r="F86" s="52">
        <f>'[2]113SF'!F86+'[3]113SF'!F86+'[1]113SF'!F86</f>
        <v>0</v>
      </c>
    </row>
    <row r="87" spans="1:6" x14ac:dyDescent="0.2">
      <c r="A87" s="77" t="s">
        <v>53</v>
      </c>
      <c r="B87" s="52">
        <f>'[2]113SF'!B87+'[3]113SF'!B87+'[1]113SF'!B87</f>
        <v>0</v>
      </c>
      <c r="C87" s="52">
        <f>'[2]113SF'!C87+'[3]113SF'!C87+'[1]113SF'!C87</f>
        <v>0</v>
      </c>
      <c r="D87" s="52">
        <f>'[2]113SF'!D87+'[3]113SF'!D87+'[1]113SF'!D87</f>
        <v>0</v>
      </c>
      <c r="E87" s="52">
        <f>'[2]113SF'!E87+'[3]113SF'!E87+'[1]113SF'!E87</f>
        <v>0</v>
      </c>
      <c r="F87" s="52">
        <f>'[2]113SF'!F87+'[3]113SF'!F87+'[1]113SF'!F87</f>
        <v>0</v>
      </c>
    </row>
    <row r="88" spans="1:6" x14ac:dyDescent="0.2">
      <c r="A88" s="77" t="s">
        <v>73</v>
      </c>
      <c r="B88" s="52">
        <f>'[2]113SF'!B88+'[3]113SF'!B88+'[1]113SF'!B88</f>
        <v>0</v>
      </c>
      <c r="C88" s="52">
        <f>'[2]113SF'!C88+'[3]113SF'!C88+'[1]113SF'!C88</f>
        <v>0</v>
      </c>
      <c r="D88" s="52">
        <f>'[2]113SF'!D88+'[3]113SF'!D88+'[1]113SF'!D88</f>
        <v>0</v>
      </c>
      <c r="E88" s="52">
        <f>'[2]113SF'!E88+'[3]113SF'!E88+'[1]113SF'!E88</f>
        <v>0</v>
      </c>
      <c r="F88" s="52">
        <f>'[2]113SF'!F88+'[3]113SF'!F88+'[1]113SF'!F88</f>
        <v>0</v>
      </c>
    </row>
    <row r="89" spans="1:6" x14ac:dyDescent="0.2">
      <c r="A89" s="77" t="s">
        <v>55</v>
      </c>
      <c r="B89" s="52">
        <f>'[2]113SF'!B89+'[3]113SF'!B89+'[1]113SF'!B89</f>
        <v>0</v>
      </c>
      <c r="C89" s="52">
        <f>'[2]113SF'!C89+'[3]113SF'!C89+'[1]113SF'!C89</f>
        <v>0</v>
      </c>
      <c r="D89" s="52">
        <f>'[2]113SF'!D89+'[3]113SF'!D89+'[1]113SF'!D89</f>
        <v>0</v>
      </c>
      <c r="E89" s="52">
        <f>'[2]113SF'!E89+'[3]113SF'!E89+'[1]113SF'!E89</f>
        <v>0</v>
      </c>
      <c r="F89" s="52">
        <f>'[2]113SF'!F89+'[3]113SF'!F89+'[1]113SF'!F89</f>
        <v>0</v>
      </c>
    </row>
    <row r="90" spans="1:6" x14ac:dyDescent="0.2">
      <c r="A90" s="77" t="s">
        <v>56</v>
      </c>
      <c r="B90" s="52">
        <f>'[2]113SF'!B90+'[3]113SF'!B90+'[1]113SF'!B90</f>
        <v>0</v>
      </c>
      <c r="C90" s="52">
        <f>'[2]113SF'!C90+'[3]113SF'!C90+'[1]113SF'!C90</f>
        <v>0</v>
      </c>
      <c r="D90" s="52">
        <f>'[2]113SF'!D90+'[3]113SF'!D90+'[1]113SF'!D90</f>
        <v>0</v>
      </c>
      <c r="E90" s="52">
        <f>'[2]113SF'!E90+'[3]113SF'!E90+'[1]113SF'!E90</f>
        <v>0</v>
      </c>
      <c r="F90" s="52">
        <f>'[2]113SF'!F90+'[3]113SF'!F90+'[1]113SF'!F90</f>
        <v>0</v>
      </c>
    </row>
    <row r="91" spans="1:6" x14ac:dyDescent="0.2">
      <c r="A91" s="77" t="s">
        <v>57</v>
      </c>
      <c r="B91" s="52">
        <f>'[2]113SF'!B91+'[3]113SF'!B91+'[1]113SF'!B91</f>
        <v>0</v>
      </c>
      <c r="C91" s="52">
        <f>'[2]113SF'!C91+'[3]113SF'!C91+'[1]113SF'!C91</f>
        <v>0</v>
      </c>
      <c r="D91" s="52">
        <f>'[2]113SF'!D91+'[3]113SF'!D91+'[1]113SF'!D91</f>
        <v>0</v>
      </c>
      <c r="E91" s="52">
        <f>'[2]113SF'!E91+'[3]113SF'!E91+'[1]113SF'!E91</f>
        <v>0</v>
      </c>
      <c r="F91" s="52">
        <f>'[2]113SF'!F91+'[3]113SF'!F91+'[1]113SF'!F91</f>
        <v>0</v>
      </c>
    </row>
    <row r="92" spans="1:6" x14ac:dyDescent="0.2">
      <c r="A92" s="77" t="s">
        <v>58</v>
      </c>
      <c r="B92" s="52">
        <f>'[2]113SF'!B92+'[3]113SF'!B92+'[1]113SF'!B92</f>
        <v>0</v>
      </c>
      <c r="C92" s="52">
        <f>'[2]113SF'!C92+'[3]113SF'!C92+'[1]113SF'!C92</f>
        <v>0</v>
      </c>
      <c r="D92" s="52">
        <f>'[2]113SF'!D92+'[3]113SF'!D92+'[1]113SF'!D92</f>
        <v>0</v>
      </c>
      <c r="E92" s="52">
        <f>'[2]113SF'!E92+'[3]113SF'!E92+'[1]113SF'!E92</f>
        <v>0</v>
      </c>
      <c r="F92" s="52">
        <f>'[2]113SF'!F92+'[3]113SF'!F92+'[1]113SF'!F92</f>
        <v>0</v>
      </c>
    </row>
    <row r="93" spans="1:6" ht="13.5" thickBot="1" x14ac:dyDescent="0.25">
      <c r="A93" s="77" t="s">
        <v>59</v>
      </c>
      <c r="B93" s="52">
        <f>'[2]113SF'!B93+'[3]113SF'!B93+'[1]113SF'!B93</f>
        <v>0</v>
      </c>
      <c r="C93" s="52">
        <f>'[2]113SF'!C93+'[3]113SF'!C93+'[1]113SF'!C93</f>
        <v>0</v>
      </c>
      <c r="D93" s="52">
        <f>'[2]113SF'!D93+'[3]113SF'!D93+'[1]113SF'!D93</f>
        <v>0</v>
      </c>
      <c r="E93" s="52">
        <f>'[2]113SF'!E93+'[3]113SF'!E93+'[1]113SF'!E93</f>
        <v>0</v>
      </c>
      <c r="F93" s="52">
        <f>'[2]113SF'!F93+'[3]113SF'!F93+'[1]113SF'!F93</f>
        <v>0</v>
      </c>
    </row>
    <row r="94" spans="1:6" ht="13.5" thickBot="1" x14ac:dyDescent="0.25">
      <c r="A94" s="2" t="s">
        <v>60</v>
      </c>
      <c r="B94" s="85"/>
      <c r="C94" s="82"/>
      <c r="D94" s="82"/>
      <c r="E94" s="82"/>
      <c r="F94" s="83"/>
    </row>
    <row r="95" spans="1:6" x14ac:dyDescent="0.2">
      <c r="A95" s="86" t="s">
        <v>61</v>
      </c>
      <c r="B95" s="53">
        <f>'[1]113SF'!B95</f>
        <v>1343</v>
      </c>
      <c r="C95" s="54">
        <f>'[1]113SF'!C95</f>
        <v>0</v>
      </c>
      <c r="D95" s="54">
        <f>'[1]113SF'!D95</f>
        <v>0</v>
      </c>
      <c r="E95" s="54">
        <f>'[1]113SF'!E95</f>
        <v>447</v>
      </c>
      <c r="F95" s="54">
        <f>'[1]113SF'!F95</f>
        <v>896</v>
      </c>
    </row>
    <row r="96" spans="1:6" x14ac:dyDescent="0.2">
      <c r="A96" s="86" t="s">
        <v>62</v>
      </c>
      <c r="B96" s="53">
        <f>'[1]113SF'!B96</f>
        <v>1325</v>
      </c>
      <c r="C96" s="54">
        <f>'[1]113SF'!C96</f>
        <v>0</v>
      </c>
      <c r="D96" s="54">
        <f>'[1]113SF'!D96</f>
        <v>0</v>
      </c>
      <c r="E96" s="54">
        <f>'[1]113SF'!E96</f>
        <v>440</v>
      </c>
      <c r="F96" s="54">
        <f>'[1]113SF'!F96</f>
        <v>885</v>
      </c>
    </row>
    <row r="97" spans="1:9" x14ac:dyDescent="0.2">
      <c r="A97" s="86" t="s">
        <v>63</v>
      </c>
      <c r="B97" s="53">
        <f>'[1]113SF'!B97</f>
        <v>0</v>
      </c>
      <c r="C97" s="54">
        <f>'[1]113SF'!C97</f>
        <v>0</v>
      </c>
      <c r="D97" s="54">
        <f>'[1]113SF'!D97</f>
        <v>0</v>
      </c>
      <c r="E97" s="54">
        <f>'[1]113SF'!E97</f>
        <v>0</v>
      </c>
      <c r="F97" s="54">
        <f>'[1]113SF'!F97</f>
        <v>0</v>
      </c>
    </row>
    <row r="98" spans="1:9" ht="13.5" thickBot="1" x14ac:dyDescent="0.25">
      <c r="A98" s="86" t="s">
        <v>64</v>
      </c>
      <c r="B98" s="53">
        <f>'[1]113SF'!B98</f>
        <v>0</v>
      </c>
      <c r="C98" s="54">
        <f>'[1]113SF'!C98</f>
        <v>0</v>
      </c>
      <c r="D98" s="54">
        <f>'[1]113SF'!D98</f>
        <v>0</v>
      </c>
      <c r="E98" s="54">
        <f>'[1]113SF'!E98</f>
        <v>0</v>
      </c>
      <c r="F98" s="54">
        <f>'[1]113SF'!F98</f>
        <v>0</v>
      </c>
    </row>
    <row r="99" spans="1:9" x14ac:dyDescent="0.2">
      <c r="A99" s="34" t="s">
        <v>65</v>
      </c>
      <c r="B99" s="35" t="s">
        <v>66</v>
      </c>
      <c r="C99" s="17"/>
      <c r="D99" s="35" t="s">
        <v>67</v>
      </c>
      <c r="E99" s="17"/>
      <c r="F99" s="36" t="s">
        <v>68</v>
      </c>
    </row>
    <row r="100" spans="1:9" x14ac:dyDescent="0.2">
      <c r="A100" s="75" t="str">
        <f>A49</f>
        <v>//signed//</v>
      </c>
      <c r="B100" s="37" t="str">
        <f>B49</f>
        <v>Endstrength</v>
      </c>
      <c r="D100" s="38" t="s">
        <v>69</v>
      </c>
      <c r="F100" s="87"/>
    </row>
    <row r="101" spans="1:9" ht="13.5" thickBot="1" x14ac:dyDescent="0.25">
      <c r="A101" s="93" t="str">
        <f>A50</f>
        <v>KARI A. GISSEL, GS-13, USAF</v>
      </c>
      <c r="B101" s="89" t="str">
        <f>B50</f>
        <v>Management Branch</v>
      </c>
      <c r="C101" s="88"/>
      <c r="D101" s="89" t="str">
        <f>D50</f>
        <v>692-1295</v>
      </c>
      <c r="E101" s="88"/>
      <c r="F101" s="90">
        <f>F50</f>
        <v>41564</v>
      </c>
    </row>
    <row r="102" spans="1:9" x14ac:dyDescent="0.2">
      <c r="A102" s="91"/>
      <c r="B102" s="91"/>
      <c r="D102" s="91"/>
      <c r="F102" s="94"/>
    </row>
    <row r="103" spans="1:9" ht="20.25" thickBot="1" x14ac:dyDescent="0.4">
      <c r="A103" s="11" t="s">
        <v>0</v>
      </c>
      <c r="B103" s="56"/>
      <c r="C103" s="56"/>
      <c r="D103" s="56"/>
      <c r="E103" s="56"/>
      <c r="F103" s="57"/>
    </row>
    <row r="104" spans="1:9" x14ac:dyDescent="0.2">
      <c r="A104" s="15" t="s">
        <v>1</v>
      </c>
      <c r="B104" s="16" t="s">
        <v>2</v>
      </c>
      <c r="C104" s="17" t="s">
        <v>3</v>
      </c>
      <c r="D104" s="17"/>
      <c r="E104" s="18"/>
      <c r="F104" s="19" t="s">
        <v>4</v>
      </c>
    </row>
    <row r="105" spans="1:9" ht="13.5" thickBot="1" x14ac:dyDescent="0.25">
      <c r="A105" s="58" t="s">
        <v>74</v>
      </c>
      <c r="B105" s="53"/>
      <c r="E105" s="60"/>
      <c r="F105" s="60"/>
    </row>
    <row r="106" spans="1:9" ht="13.5" thickBot="1" x14ac:dyDescent="0.25">
      <c r="A106" s="20" t="s">
        <v>5</v>
      </c>
      <c r="B106" s="61"/>
      <c r="C106" s="61"/>
      <c r="D106" s="61"/>
      <c r="E106" s="61"/>
      <c r="F106" s="62"/>
    </row>
    <row r="107" spans="1:9" x14ac:dyDescent="0.2">
      <c r="A107" s="21" t="s">
        <v>94</v>
      </c>
      <c r="B107" s="22" t="s">
        <v>7</v>
      </c>
      <c r="C107" s="23"/>
      <c r="D107" s="24"/>
      <c r="E107" s="24" t="s">
        <v>8</v>
      </c>
      <c r="F107" s="63"/>
    </row>
    <row r="108" spans="1:9" x14ac:dyDescent="0.2">
      <c r="A108" s="64"/>
      <c r="B108" s="25" t="s">
        <v>9</v>
      </c>
      <c r="C108" s="26" t="s">
        <v>10</v>
      </c>
      <c r="D108" s="27" t="s">
        <v>11</v>
      </c>
      <c r="E108" s="28"/>
      <c r="F108" s="57"/>
    </row>
    <row r="109" spans="1:9" ht="13.5" thickBot="1" x14ac:dyDescent="0.25">
      <c r="A109" s="65">
        <f>A58</f>
        <v>41547</v>
      </c>
      <c r="B109" s="66"/>
      <c r="C109" s="67"/>
      <c r="D109" s="95">
        <f>D58</f>
        <v>41456</v>
      </c>
      <c r="E109" s="67"/>
      <c r="F109" s="96">
        <f>A58</f>
        <v>41547</v>
      </c>
      <c r="I109" s="9"/>
    </row>
    <row r="110" spans="1:9" ht="14.25" thickTop="1" thickBot="1" x14ac:dyDescent="0.25">
      <c r="A110" s="70"/>
      <c r="B110" s="71"/>
      <c r="C110" s="72" t="s">
        <v>12</v>
      </c>
      <c r="D110" s="73"/>
      <c r="E110" s="74" t="s">
        <v>13</v>
      </c>
      <c r="F110" s="72"/>
      <c r="I110" s="41"/>
    </row>
    <row r="111" spans="1:9" x14ac:dyDescent="0.2">
      <c r="A111" s="75" t="s">
        <v>14</v>
      </c>
      <c r="B111" s="53" t="s">
        <v>15</v>
      </c>
      <c r="C111" s="62" t="s">
        <v>16</v>
      </c>
      <c r="D111" s="61" t="s">
        <v>17</v>
      </c>
      <c r="E111" s="76" t="s">
        <v>18</v>
      </c>
      <c r="F111" s="62" t="s">
        <v>19</v>
      </c>
      <c r="I111" s="41"/>
    </row>
    <row r="112" spans="1:9" x14ac:dyDescent="0.2">
      <c r="A112" s="75" t="s">
        <v>20</v>
      </c>
      <c r="B112" s="53" t="s">
        <v>21</v>
      </c>
      <c r="C112" s="53" t="s">
        <v>22</v>
      </c>
      <c r="D112" s="59" t="s">
        <v>23</v>
      </c>
      <c r="E112" s="54" t="s">
        <v>24</v>
      </c>
      <c r="F112" s="60" t="s">
        <v>24</v>
      </c>
      <c r="I112" s="41"/>
    </row>
    <row r="113" spans="1:10" ht="13.5" thickBot="1" x14ac:dyDescent="0.25">
      <c r="B113" s="78" t="s">
        <v>25</v>
      </c>
      <c r="C113" s="79" t="s">
        <v>26</v>
      </c>
      <c r="D113" s="80" t="s">
        <v>27</v>
      </c>
      <c r="E113" s="81" t="s">
        <v>28</v>
      </c>
      <c r="F113" s="79" t="s">
        <v>29</v>
      </c>
      <c r="I113" s="41"/>
    </row>
    <row r="114" spans="1:10" ht="13.5" thickBot="1" x14ac:dyDescent="0.25">
      <c r="A114" s="1" t="s">
        <v>30</v>
      </c>
      <c r="B114" s="82"/>
      <c r="C114" s="82"/>
      <c r="D114" s="82"/>
      <c r="E114" s="82"/>
      <c r="F114" s="83"/>
      <c r="I114" s="41"/>
    </row>
    <row r="115" spans="1:10" x14ac:dyDescent="0.2">
      <c r="A115" s="77" t="s">
        <v>31</v>
      </c>
      <c r="B115" s="97">
        <f>'[1]113SF'!B115</f>
        <v>22568</v>
      </c>
      <c r="C115" s="98">
        <f>'[1]113SF'!C115</f>
        <v>269</v>
      </c>
      <c r="D115" s="48">
        <f>'[1]113SF'!D115</f>
        <v>0</v>
      </c>
      <c r="E115" s="98">
        <f>'[1]113SF'!E115</f>
        <v>274</v>
      </c>
      <c r="F115" s="98">
        <f>'[1]113SF'!F115</f>
        <v>22025</v>
      </c>
    </row>
    <row r="116" spans="1:10" x14ac:dyDescent="0.2">
      <c r="A116" s="77" t="s">
        <v>32</v>
      </c>
      <c r="B116" s="97">
        <f>'[1]113SF'!B116</f>
        <v>19065</v>
      </c>
      <c r="C116" s="98">
        <f>'[1]113SF'!C116</f>
        <v>213</v>
      </c>
      <c r="D116" s="48">
        <f>'[1]113SF'!D116</f>
        <v>0</v>
      </c>
      <c r="E116" s="98">
        <f>'[1]113SF'!E116</f>
        <v>244</v>
      </c>
      <c r="F116" s="98">
        <f>'[1]113SF'!F116</f>
        <v>18608</v>
      </c>
    </row>
    <row r="117" spans="1:10" x14ac:dyDescent="0.2">
      <c r="A117" s="77" t="s">
        <v>33</v>
      </c>
      <c r="B117" s="97">
        <f>'[1]113SF'!B117</f>
        <v>22536</v>
      </c>
      <c r="C117" s="98">
        <f>'[1]113SF'!C117</f>
        <v>269</v>
      </c>
      <c r="D117" s="48">
        <f>'[1]113SF'!D117</f>
        <v>0</v>
      </c>
      <c r="E117" s="98">
        <f>'[1]113SF'!E117</f>
        <v>274</v>
      </c>
      <c r="F117" s="98">
        <f>'[1]113SF'!F117</f>
        <v>21993</v>
      </c>
    </row>
    <row r="118" spans="1:10" x14ac:dyDescent="0.2">
      <c r="A118" s="77" t="s">
        <v>34</v>
      </c>
      <c r="B118" s="97">
        <f>'[1]113SF'!B118</f>
        <v>19033</v>
      </c>
      <c r="C118" s="98">
        <f>'[1]113SF'!C118</f>
        <v>213</v>
      </c>
      <c r="D118" s="48">
        <f>'[1]113SF'!D118</f>
        <v>0</v>
      </c>
      <c r="E118" s="98">
        <f>'[1]113SF'!E118</f>
        <v>244</v>
      </c>
      <c r="F118" s="98">
        <f>'[1]113SF'!F118</f>
        <v>18576</v>
      </c>
    </row>
    <row r="119" spans="1:10" x14ac:dyDescent="0.2">
      <c r="A119" s="77" t="s">
        <v>35</v>
      </c>
      <c r="B119" s="97">
        <f>'[1]113SF'!B119</f>
        <v>19061</v>
      </c>
      <c r="C119" s="98">
        <f>'[1]113SF'!C119</f>
        <v>213</v>
      </c>
      <c r="D119" s="48">
        <f>'[1]113SF'!D119</f>
        <v>0</v>
      </c>
      <c r="E119" s="98">
        <f>'[1]113SF'!E119</f>
        <v>244</v>
      </c>
      <c r="F119" s="98">
        <f>'[1]113SF'!F119</f>
        <v>18604</v>
      </c>
    </row>
    <row r="120" spans="1:10" x14ac:dyDescent="0.2">
      <c r="A120" s="77" t="s">
        <v>71</v>
      </c>
      <c r="B120" s="97">
        <f>'[1]113SF'!B120</f>
        <v>30</v>
      </c>
      <c r="C120" s="48">
        <f>'[1]113SF'!C120</f>
        <v>0</v>
      </c>
      <c r="D120" s="48">
        <f>'[1]113SF'!D120</f>
        <v>0</v>
      </c>
      <c r="E120" s="48">
        <f>'[1]113SF'!E120</f>
        <v>0</v>
      </c>
      <c r="F120" s="98">
        <f>'[1]113SF'!F120</f>
        <v>30</v>
      </c>
    </row>
    <row r="121" spans="1:10" x14ac:dyDescent="0.2">
      <c r="A121" s="77" t="s">
        <v>72</v>
      </c>
      <c r="B121" s="97">
        <f>'[1]113SF'!B121</f>
        <v>4</v>
      </c>
      <c r="C121" s="48">
        <f>'[1]113SF'!C121</f>
        <v>0</v>
      </c>
      <c r="D121" s="48">
        <f>'[1]113SF'!D121</f>
        <v>0</v>
      </c>
      <c r="E121" s="48">
        <f>'[1]113SF'!E121</f>
        <v>0</v>
      </c>
      <c r="F121" s="98">
        <f>'[1]113SF'!F121</f>
        <v>4</v>
      </c>
    </row>
    <row r="122" spans="1:10" x14ac:dyDescent="0.2">
      <c r="A122" s="77" t="s">
        <v>37</v>
      </c>
      <c r="B122" s="97">
        <f>'[1]113SF'!B122</f>
        <v>2</v>
      </c>
      <c r="C122" s="48">
        <f>'[1]113SF'!C122</f>
        <v>0</v>
      </c>
      <c r="D122" s="48">
        <f>'[1]113SF'!D122</f>
        <v>0</v>
      </c>
      <c r="E122" s="48">
        <f>'[1]113SF'!E122</f>
        <v>0</v>
      </c>
      <c r="F122" s="98">
        <f>'[1]113SF'!F122</f>
        <v>2</v>
      </c>
    </row>
    <row r="123" spans="1:10" x14ac:dyDescent="0.2">
      <c r="A123" s="77" t="s">
        <v>38</v>
      </c>
      <c r="B123" s="97">
        <f>'[1]113SF'!B123</f>
        <v>366</v>
      </c>
      <c r="C123" s="98">
        <f>'[1]113SF'!C123</f>
        <v>3</v>
      </c>
      <c r="D123" s="48">
        <f>'[1]113SF'!D123</f>
        <v>0</v>
      </c>
      <c r="E123" s="98">
        <f>'[1]113SF'!E123</f>
        <v>19</v>
      </c>
      <c r="F123" s="98">
        <f>'[1]113SF'!F123</f>
        <v>344</v>
      </c>
    </row>
    <row r="124" spans="1:10" x14ac:dyDescent="0.2">
      <c r="A124" s="77" t="s">
        <v>39</v>
      </c>
      <c r="B124" s="97">
        <f>'[1]113SF'!B124</f>
        <v>341</v>
      </c>
      <c r="C124" s="98">
        <f>'[1]113SF'!C124</f>
        <v>3</v>
      </c>
      <c r="D124" s="48">
        <f>'[1]113SF'!D124</f>
        <v>0</v>
      </c>
      <c r="E124" s="98">
        <f>'[1]113SF'!E124</f>
        <v>19</v>
      </c>
      <c r="F124" s="98">
        <f>'[1]113SF'!F124</f>
        <v>319</v>
      </c>
    </row>
    <row r="125" spans="1:10" x14ac:dyDescent="0.2">
      <c r="A125" s="77" t="s">
        <v>40</v>
      </c>
      <c r="B125" s="97">
        <f>'[1]113SF'!B125</f>
        <v>22202</v>
      </c>
      <c r="C125" s="98">
        <f>'[1]113SF'!C125</f>
        <v>266</v>
      </c>
      <c r="D125" s="48">
        <f>'[1]113SF'!D125</f>
        <v>0</v>
      </c>
      <c r="E125" s="98">
        <f>'[1]113SF'!E125</f>
        <v>255</v>
      </c>
      <c r="F125" s="98">
        <f>'[1]113SF'!F125</f>
        <v>21681</v>
      </c>
      <c r="J125" s="33"/>
    </row>
    <row r="126" spans="1:10" x14ac:dyDescent="0.2">
      <c r="A126" s="77" t="s">
        <v>41</v>
      </c>
      <c r="B126" s="97">
        <f>'[1]113SF'!B126</f>
        <v>18724</v>
      </c>
      <c r="C126" s="98">
        <f>'[1]113SF'!C126</f>
        <v>210</v>
      </c>
      <c r="D126" s="48">
        <f>'[1]113SF'!D126</f>
        <v>0</v>
      </c>
      <c r="E126" s="98">
        <f>'[1]113SF'!E126</f>
        <v>225</v>
      </c>
      <c r="F126" s="98">
        <f>'[1]113SF'!F126</f>
        <v>18289</v>
      </c>
      <c r="J126" s="33"/>
    </row>
    <row r="127" spans="1:10" x14ac:dyDescent="0.2">
      <c r="A127" s="77" t="s">
        <v>42</v>
      </c>
      <c r="B127" s="97">
        <f>'[1]113SF'!B127</f>
        <v>11114</v>
      </c>
      <c r="C127" s="98">
        <f>'[1]113SF'!C127</f>
        <v>88</v>
      </c>
      <c r="D127" s="48">
        <f>'[1]113SF'!D127</f>
        <v>0</v>
      </c>
      <c r="E127" s="98">
        <f>'[1]113SF'!E127</f>
        <v>198</v>
      </c>
      <c r="F127" s="98">
        <f>'[1]113SF'!F127</f>
        <v>10828</v>
      </c>
    </row>
    <row r="128" spans="1:10" x14ac:dyDescent="0.2">
      <c r="A128" s="77" t="s">
        <v>43</v>
      </c>
      <c r="B128" s="97">
        <f>'[1]113SF'!B128</f>
        <v>22565</v>
      </c>
      <c r="C128" s="98">
        <f>'[1]113SF'!C128</f>
        <v>269</v>
      </c>
      <c r="D128" s="48">
        <f>'[1]113SF'!D128</f>
        <v>0</v>
      </c>
      <c r="E128" s="98">
        <f>'[1]113SF'!E128</f>
        <v>274</v>
      </c>
      <c r="F128" s="98">
        <f>'[1]113SF'!F128</f>
        <v>22022</v>
      </c>
    </row>
    <row r="129" spans="1:6" x14ac:dyDescent="0.2">
      <c r="A129" s="77" t="s">
        <v>44</v>
      </c>
      <c r="B129" s="97">
        <f>'[1]113SF'!B129</f>
        <v>3</v>
      </c>
      <c r="C129" s="48">
        <f>'[1]113SF'!C129</f>
        <v>0</v>
      </c>
      <c r="D129" s="48">
        <f>'[1]113SF'!D129</f>
        <v>0</v>
      </c>
      <c r="E129" s="48">
        <f>'[1]113SF'!E129</f>
        <v>0</v>
      </c>
      <c r="F129" s="98">
        <f>'[1]113SF'!F129</f>
        <v>3</v>
      </c>
    </row>
    <row r="130" spans="1:6" ht="13.5" thickBot="1" x14ac:dyDescent="0.25">
      <c r="A130" s="77" t="s">
        <v>45</v>
      </c>
      <c r="B130" s="48">
        <f>'[1]113SF'!B130</f>
        <v>0</v>
      </c>
      <c r="C130" s="48">
        <f>'[1]113SF'!C130</f>
        <v>0</v>
      </c>
      <c r="D130" s="48">
        <f>'[1]113SF'!D130</f>
        <v>0</v>
      </c>
      <c r="E130" s="48">
        <f>'[1]113SF'!E130</f>
        <v>0</v>
      </c>
      <c r="F130" s="48">
        <f>'[1]113SF'!F130</f>
        <v>0</v>
      </c>
    </row>
    <row r="131" spans="1:6" ht="13.5" thickBot="1" x14ac:dyDescent="0.25">
      <c r="A131" s="1" t="s">
        <v>46</v>
      </c>
      <c r="B131" s="82"/>
      <c r="C131" s="82"/>
      <c r="D131" s="82"/>
      <c r="E131" s="82"/>
      <c r="F131" s="83"/>
    </row>
    <row r="132" spans="1:6" x14ac:dyDescent="0.2">
      <c r="A132" s="77" t="s">
        <v>47</v>
      </c>
      <c r="B132" s="53"/>
      <c r="C132" s="60"/>
      <c r="D132" s="60"/>
      <c r="E132" s="60"/>
      <c r="F132" s="60"/>
    </row>
    <row r="133" spans="1:6" ht="13.5" thickBot="1" x14ac:dyDescent="0.25">
      <c r="A133" s="77" t="s">
        <v>48</v>
      </c>
      <c r="B133" s="53"/>
      <c r="C133" s="60"/>
      <c r="D133" s="60"/>
      <c r="E133" s="60"/>
      <c r="F133" s="60"/>
    </row>
    <row r="134" spans="1:6" ht="13.5" thickBot="1" x14ac:dyDescent="0.25">
      <c r="A134" s="1" t="s">
        <v>49</v>
      </c>
      <c r="B134" s="82"/>
      <c r="C134" s="82"/>
      <c r="D134" s="82"/>
      <c r="E134" s="82"/>
      <c r="F134" s="83"/>
    </row>
    <row r="135" spans="1:6" x14ac:dyDescent="0.2">
      <c r="A135" s="77" t="s">
        <v>50</v>
      </c>
      <c r="B135" s="52">
        <f>'[2]113SF'!B135+'[3]113SF'!B135+'[1]113SF'!B135</f>
        <v>1728</v>
      </c>
      <c r="C135" s="52">
        <f>'[2]113SF'!C135+'[3]113SF'!C135+'[1]113SF'!C135</f>
        <v>42</v>
      </c>
      <c r="D135" s="52">
        <f>'[2]113SF'!D135+'[3]113SF'!D135+'[1]113SF'!D135</f>
        <v>0</v>
      </c>
      <c r="E135" s="52">
        <f>'[2]113SF'!E135+'[3]113SF'!E135+'[1]113SF'!E135</f>
        <v>32</v>
      </c>
      <c r="F135" s="52">
        <f>'[2]113SF'!F135+'[3]113SF'!F135+'[1]113SF'!F135</f>
        <v>1654</v>
      </c>
    </row>
    <row r="136" spans="1:6" x14ac:dyDescent="0.2">
      <c r="A136" s="77" t="s">
        <v>51</v>
      </c>
      <c r="B136" s="52">
        <f>'[2]113SF'!B136+'[3]113SF'!B136+'[1]113SF'!B136</f>
        <v>1</v>
      </c>
      <c r="C136" s="52">
        <f>'[2]113SF'!C136+'[3]113SF'!C136+'[1]113SF'!C136</f>
        <v>0</v>
      </c>
      <c r="D136" s="52">
        <f>'[2]113SF'!D136+'[3]113SF'!D136+'[1]113SF'!D136</f>
        <v>0</v>
      </c>
      <c r="E136" s="52">
        <f>'[2]113SF'!E136+'[3]113SF'!E136+'[1]113SF'!E136</f>
        <v>0</v>
      </c>
      <c r="F136" s="52">
        <f>'[2]113SF'!F136+'[3]113SF'!F136+'[1]113SF'!F136</f>
        <v>1</v>
      </c>
    </row>
    <row r="137" spans="1:6" x14ac:dyDescent="0.2">
      <c r="A137" s="77" t="s">
        <v>52</v>
      </c>
      <c r="B137" s="52">
        <f>'[2]113SF'!B137+'[3]113SF'!B137+'[1]113SF'!B137</f>
        <v>1026</v>
      </c>
      <c r="C137" s="52">
        <f>'[2]113SF'!C137+'[3]113SF'!C137+'[1]113SF'!C137</f>
        <v>18</v>
      </c>
      <c r="D137" s="52">
        <f>'[2]113SF'!D137+'[3]113SF'!D137+'[1]113SF'!D137</f>
        <v>0</v>
      </c>
      <c r="E137" s="52">
        <f>'[2]113SF'!E137+'[3]113SF'!E137+'[1]113SF'!E137</f>
        <v>23</v>
      </c>
      <c r="F137" s="52">
        <f>'[2]113SF'!F137+'[3]113SF'!F137+'[1]113SF'!F137</f>
        <v>985</v>
      </c>
    </row>
    <row r="138" spans="1:6" x14ac:dyDescent="0.2">
      <c r="A138" s="77" t="s">
        <v>53</v>
      </c>
      <c r="B138" s="52">
        <f>'[2]113SF'!B138+'[3]113SF'!B138+'[1]113SF'!B138</f>
        <v>9</v>
      </c>
      <c r="C138" s="52">
        <f>'[2]113SF'!C138+'[3]113SF'!C138+'[1]113SF'!C138</f>
        <v>0</v>
      </c>
      <c r="D138" s="52">
        <f>'[2]113SF'!D138+'[3]113SF'!D138+'[1]113SF'!D138</f>
        <v>0</v>
      </c>
      <c r="E138" s="52">
        <f>'[2]113SF'!E138+'[3]113SF'!E138+'[1]113SF'!E138</f>
        <v>0</v>
      </c>
      <c r="F138" s="52">
        <f>'[2]113SF'!F138+'[3]113SF'!F138+'[1]113SF'!F138</f>
        <v>9</v>
      </c>
    </row>
    <row r="139" spans="1:6" x14ac:dyDescent="0.2">
      <c r="A139" s="77" t="s">
        <v>73</v>
      </c>
      <c r="B139" s="52">
        <f>'[2]113SF'!B139+'[3]113SF'!B139+'[1]113SF'!B139</f>
        <v>7</v>
      </c>
      <c r="C139" s="52">
        <f>'[2]113SF'!C139+'[3]113SF'!C139+'[1]113SF'!C139</f>
        <v>0</v>
      </c>
      <c r="D139" s="52">
        <f>'[2]113SF'!D139+'[3]113SF'!D139+'[1]113SF'!D139</f>
        <v>0</v>
      </c>
      <c r="E139" s="52">
        <f>'[2]113SF'!E139+'[3]113SF'!E139+'[1]113SF'!E139</f>
        <v>0</v>
      </c>
      <c r="F139" s="52">
        <f>'[2]113SF'!F139+'[3]113SF'!F139+'[1]113SF'!F139</f>
        <v>7</v>
      </c>
    </row>
    <row r="140" spans="1:6" x14ac:dyDescent="0.2">
      <c r="A140" s="77" t="s">
        <v>55</v>
      </c>
      <c r="B140" s="52">
        <f>'[2]113SF'!B140+'[3]113SF'!B140+'[1]113SF'!B140</f>
        <v>1728</v>
      </c>
      <c r="C140" s="52">
        <f>'[2]113SF'!C140+'[3]113SF'!C140+'[1]113SF'!C140</f>
        <v>42</v>
      </c>
      <c r="D140" s="52">
        <f>'[2]113SF'!D140+'[3]113SF'!D140+'[1]113SF'!D140</f>
        <v>0</v>
      </c>
      <c r="E140" s="52">
        <f>'[2]113SF'!E140+'[3]113SF'!E140+'[1]113SF'!E140</f>
        <v>32</v>
      </c>
      <c r="F140" s="52">
        <f>'[2]113SF'!F140+'[3]113SF'!F140+'[1]113SF'!F140</f>
        <v>1654</v>
      </c>
    </row>
    <row r="141" spans="1:6" x14ac:dyDescent="0.2">
      <c r="A141" s="77" t="s">
        <v>56</v>
      </c>
      <c r="B141" s="52">
        <f>'[2]113SF'!B141+'[3]113SF'!B141+'[1]113SF'!B141</f>
        <v>2645</v>
      </c>
      <c r="C141" s="52">
        <f>'[2]113SF'!C141+'[3]113SF'!C141+'[1]113SF'!C141</f>
        <v>67</v>
      </c>
      <c r="D141" s="52">
        <f>'[2]113SF'!D141+'[3]113SF'!D141+'[1]113SF'!D141</f>
        <v>0</v>
      </c>
      <c r="E141" s="52">
        <f>'[2]113SF'!E141+'[3]113SF'!E141+'[1]113SF'!E141</f>
        <v>55</v>
      </c>
      <c r="F141" s="52">
        <f>'[2]113SF'!F141+'[3]113SF'!F141+'[1]113SF'!F141</f>
        <v>2523</v>
      </c>
    </row>
    <row r="142" spans="1:6" x14ac:dyDescent="0.2">
      <c r="A142" s="77" t="s">
        <v>57</v>
      </c>
      <c r="B142" s="52">
        <f>'[2]113SF'!B142+'[3]113SF'!B142+'[1]113SF'!B142</f>
        <v>24</v>
      </c>
      <c r="C142" s="52">
        <f>'[2]113SF'!C142+'[3]113SF'!C142+'[1]113SF'!C142</f>
        <v>1</v>
      </c>
      <c r="D142" s="52">
        <f>'[2]113SF'!D142+'[3]113SF'!D142+'[1]113SF'!D142</f>
        <v>0</v>
      </c>
      <c r="E142" s="52">
        <f>'[2]113SF'!E142+'[3]113SF'!E142+'[1]113SF'!E142</f>
        <v>0</v>
      </c>
      <c r="F142" s="52">
        <f>'[2]113SF'!F142+'[3]113SF'!F142+'[1]113SF'!F142</f>
        <v>23</v>
      </c>
    </row>
    <row r="143" spans="1:6" x14ac:dyDescent="0.2">
      <c r="A143" s="77" t="s">
        <v>58</v>
      </c>
      <c r="B143" s="52">
        <f>'[2]113SF'!B143+'[3]113SF'!B143+'[1]113SF'!B143</f>
        <v>396</v>
      </c>
      <c r="C143" s="52">
        <f>'[2]113SF'!C143+'[3]113SF'!C143+'[1]113SF'!C143</f>
        <v>4</v>
      </c>
      <c r="D143" s="52">
        <f>'[2]113SF'!D143+'[3]113SF'!D143+'[1]113SF'!D143</f>
        <v>0</v>
      </c>
      <c r="E143" s="52">
        <f>'[2]113SF'!E143+'[3]113SF'!E143+'[1]113SF'!E143</f>
        <v>11</v>
      </c>
      <c r="F143" s="52">
        <f>'[2]113SF'!F143+'[3]113SF'!F143+'[1]113SF'!F143</f>
        <v>381</v>
      </c>
    </row>
    <row r="144" spans="1:6" ht="13.5" thickBot="1" x14ac:dyDescent="0.25">
      <c r="A144" s="77" t="s">
        <v>59</v>
      </c>
      <c r="B144" s="52">
        <f>'[2]113SF'!B144+'[3]113SF'!B144+'[1]113SF'!B144</f>
        <v>2645</v>
      </c>
      <c r="C144" s="52">
        <f>'[2]113SF'!C144+'[3]113SF'!C144+'[1]113SF'!C144</f>
        <v>67</v>
      </c>
      <c r="D144" s="52">
        <f>'[2]113SF'!D144+'[3]113SF'!D144+'[1]113SF'!D144</f>
        <v>0</v>
      </c>
      <c r="E144" s="52">
        <f>'[2]113SF'!E144+'[3]113SF'!E144+'[1]113SF'!E144</f>
        <v>55</v>
      </c>
      <c r="F144" s="52">
        <f>'[2]113SF'!F144+'[3]113SF'!F144+'[1]113SF'!F144</f>
        <v>2523</v>
      </c>
    </row>
    <row r="145" spans="1:6" ht="13.5" thickBot="1" x14ac:dyDescent="0.25">
      <c r="A145" s="2" t="s">
        <v>60</v>
      </c>
      <c r="B145" s="85"/>
      <c r="C145" s="82"/>
      <c r="D145" s="82"/>
      <c r="E145" s="82"/>
      <c r="F145" s="83"/>
    </row>
    <row r="146" spans="1:6" x14ac:dyDescent="0.2">
      <c r="A146" s="86" t="s">
        <v>61</v>
      </c>
      <c r="B146" s="99">
        <f>'[1]113SF'!B146</f>
        <v>22568</v>
      </c>
      <c r="C146" s="100">
        <f>'[1]113SF'!C146</f>
        <v>269</v>
      </c>
      <c r="D146" s="100">
        <f>'[1]113SF'!D146</f>
        <v>0</v>
      </c>
      <c r="E146" s="100">
        <f>'[1]113SF'!E146</f>
        <v>274</v>
      </c>
      <c r="F146" s="100">
        <f>'[1]113SF'!F146</f>
        <v>22025</v>
      </c>
    </row>
    <row r="147" spans="1:6" x14ac:dyDescent="0.2">
      <c r="A147" s="86" t="s">
        <v>62</v>
      </c>
      <c r="B147" s="99">
        <f>'[1]113SF'!B147</f>
        <v>19065</v>
      </c>
      <c r="C147" s="100">
        <f>'[1]113SF'!C147</f>
        <v>213</v>
      </c>
      <c r="D147" s="100">
        <f>'[1]113SF'!D147</f>
        <v>0</v>
      </c>
      <c r="E147" s="100">
        <f>'[1]113SF'!E147</f>
        <v>244</v>
      </c>
      <c r="F147" s="100">
        <f>'[1]113SF'!F147</f>
        <v>18608</v>
      </c>
    </row>
    <row r="148" spans="1:6" x14ac:dyDescent="0.2">
      <c r="A148" s="86" t="s">
        <v>63</v>
      </c>
      <c r="B148" s="99">
        <f>'[1]113SF'!B148</f>
        <v>0</v>
      </c>
      <c r="C148" s="100">
        <f>'[1]113SF'!C148</f>
        <v>0</v>
      </c>
      <c r="D148" s="100">
        <f>'[1]113SF'!D148</f>
        <v>0</v>
      </c>
      <c r="E148" s="100">
        <f>'[1]113SF'!E148</f>
        <v>0</v>
      </c>
      <c r="F148" s="100">
        <f>'[1]113SF'!F148</f>
        <v>0</v>
      </c>
    </row>
    <row r="149" spans="1:6" ht="13.5" thickBot="1" x14ac:dyDescent="0.25">
      <c r="A149" s="86" t="s">
        <v>64</v>
      </c>
      <c r="B149" s="99">
        <f>'[1]113SF'!B149</f>
        <v>0</v>
      </c>
      <c r="C149" s="100">
        <f>'[1]113SF'!C149</f>
        <v>0</v>
      </c>
      <c r="D149" s="100">
        <f>'[1]113SF'!D149</f>
        <v>0</v>
      </c>
      <c r="E149" s="100">
        <f>'[1]113SF'!E149</f>
        <v>0</v>
      </c>
      <c r="F149" s="100">
        <f>'[1]113SF'!F149</f>
        <v>0</v>
      </c>
    </row>
    <row r="150" spans="1:6" x14ac:dyDescent="0.2">
      <c r="A150" s="34" t="s">
        <v>65</v>
      </c>
      <c r="B150" s="35" t="s">
        <v>66</v>
      </c>
      <c r="C150" s="17"/>
      <c r="D150" s="35" t="s">
        <v>67</v>
      </c>
      <c r="E150" s="17"/>
      <c r="F150" s="36" t="s">
        <v>68</v>
      </c>
    </row>
    <row r="151" spans="1:6" x14ac:dyDescent="0.2">
      <c r="A151" s="75" t="str">
        <f>A100</f>
        <v>//signed//</v>
      </c>
      <c r="B151" s="37" t="str">
        <f>B100</f>
        <v>Endstrength</v>
      </c>
      <c r="D151" s="38" t="s">
        <v>69</v>
      </c>
      <c r="F151" s="87"/>
    </row>
    <row r="152" spans="1:6" ht="13.5" thickBot="1" x14ac:dyDescent="0.25">
      <c r="A152" s="93" t="str">
        <f>A101</f>
        <v>KARI A. GISSEL, GS-13, USAF</v>
      </c>
      <c r="B152" s="89" t="str">
        <f>B101</f>
        <v>Management Branch</v>
      </c>
      <c r="C152" s="88"/>
      <c r="D152" s="89" t="str">
        <f>D101</f>
        <v>692-1295</v>
      </c>
      <c r="E152" s="88"/>
      <c r="F152" s="90">
        <f>F101</f>
        <v>41564</v>
      </c>
    </row>
    <row r="153" spans="1:6" x14ac:dyDescent="0.2">
      <c r="A153" s="91"/>
      <c r="B153" s="91"/>
      <c r="D153" s="91"/>
      <c r="F153" s="94"/>
    </row>
    <row r="154" spans="1:6" ht="20.25" thickBot="1" x14ac:dyDescent="0.4">
      <c r="A154" s="11" t="s">
        <v>0</v>
      </c>
      <c r="B154" s="56"/>
      <c r="C154" s="56"/>
      <c r="D154" s="56"/>
      <c r="E154" s="56"/>
      <c r="F154" s="57"/>
    </row>
    <row r="155" spans="1:6" x14ac:dyDescent="0.2">
      <c r="A155" s="15" t="s">
        <v>1</v>
      </c>
      <c r="B155" s="16" t="s">
        <v>2</v>
      </c>
      <c r="C155" s="17" t="s">
        <v>3</v>
      </c>
      <c r="D155" s="17"/>
      <c r="E155" s="18"/>
      <c r="F155" s="19" t="s">
        <v>4</v>
      </c>
    </row>
    <row r="156" spans="1:6" ht="13.5" thickBot="1" x14ac:dyDescent="0.25">
      <c r="A156" s="58" t="s">
        <v>96</v>
      </c>
      <c r="B156" s="53"/>
      <c r="E156" s="60"/>
      <c r="F156" s="60"/>
    </row>
    <row r="157" spans="1:6" ht="13.5" thickBot="1" x14ac:dyDescent="0.25">
      <c r="A157" s="20" t="s">
        <v>5</v>
      </c>
      <c r="B157" s="61"/>
      <c r="C157" s="61"/>
      <c r="D157" s="61"/>
      <c r="E157" s="61"/>
      <c r="F157" s="62"/>
    </row>
    <row r="158" spans="1:6" x14ac:dyDescent="0.2">
      <c r="A158" s="21" t="s">
        <v>6</v>
      </c>
      <c r="B158" s="22" t="s">
        <v>7</v>
      </c>
      <c r="C158" s="23"/>
      <c r="D158" s="24"/>
      <c r="E158" s="24" t="s">
        <v>8</v>
      </c>
      <c r="F158" s="63"/>
    </row>
    <row r="159" spans="1:6" x14ac:dyDescent="0.2">
      <c r="A159" s="64"/>
      <c r="B159" s="25" t="s">
        <v>9</v>
      </c>
      <c r="C159" s="26" t="s">
        <v>10</v>
      </c>
      <c r="D159" s="27" t="s">
        <v>11</v>
      </c>
      <c r="E159" s="28"/>
      <c r="F159" s="57"/>
    </row>
    <row r="160" spans="1:6" ht="13.5" thickBot="1" x14ac:dyDescent="0.25">
      <c r="A160" s="65">
        <f>A7</f>
        <v>41547</v>
      </c>
      <c r="B160" s="66"/>
      <c r="C160" s="67"/>
      <c r="D160" s="95">
        <f>D7</f>
        <v>41456</v>
      </c>
      <c r="E160" s="67"/>
      <c r="F160" s="96">
        <f>A7</f>
        <v>41547</v>
      </c>
    </row>
    <row r="161" spans="1:8" ht="14.25" thickTop="1" thickBot="1" x14ac:dyDescent="0.25">
      <c r="A161" s="70"/>
      <c r="B161" s="71"/>
      <c r="C161" s="72" t="s">
        <v>12</v>
      </c>
      <c r="D161" s="73"/>
      <c r="E161" s="74" t="s">
        <v>13</v>
      </c>
      <c r="F161" s="72"/>
    </row>
    <row r="162" spans="1:8" x14ac:dyDescent="0.2">
      <c r="A162" s="75" t="s">
        <v>14</v>
      </c>
      <c r="B162" s="53" t="s">
        <v>15</v>
      </c>
      <c r="C162" s="62" t="s">
        <v>16</v>
      </c>
      <c r="D162" s="61" t="s">
        <v>17</v>
      </c>
      <c r="E162" s="76" t="s">
        <v>18</v>
      </c>
      <c r="F162" s="62" t="s">
        <v>19</v>
      </c>
    </row>
    <row r="163" spans="1:8" x14ac:dyDescent="0.2">
      <c r="A163" s="75" t="s">
        <v>20</v>
      </c>
      <c r="B163" s="53" t="s">
        <v>21</v>
      </c>
      <c r="C163" s="53" t="s">
        <v>22</v>
      </c>
      <c r="D163" s="59" t="s">
        <v>23</v>
      </c>
      <c r="E163" s="54" t="s">
        <v>24</v>
      </c>
      <c r="F163" s="60" t="s">
        <v>24</v>
      </c>
    </row>
    <row r="164" spans="1:8" ht="13.5" thickBot="1" x14ac:dyDescent="0.25">
      <c r="B164" s="78" t="s">
        <v>25</v>
      </c>
      <c r="C164" s="79" t="s">
        <v>26</v>
      </c>
      <c r="D164" s="80" t="s">
        <v>27</v>
      </c>
      <c r="E164" s="81" t="s">
        <v>28</v>
      </c>
      <c r="F164" s="79" t="s">
        <v>29</v>
      </c>
    </row>
    <row r="165" spans="1:8" ht="13.5" thickBot="1" x14ac:dyDescent="0.25">
      <c r="A165" s="1" t="s">
        <v>30</v>
      </c>
      <c r="B165" s="82"/>
      <c r="C165" s="82"/>
      <c r="D165" s="82"/>
      <c r="E165" s="82"/>
      <c r="F165" s="83"/>
    </row>
    <row r="166" spans="1:8" x14ac:dyDescent="0.2">
      <c r="A166" s="77" t="s">
        <v>31</v>
      </c>
      <c r="B166" s="53">
        <f t="shared" ref="B166:F181" si="0">B13+B64+B115</f>
        <v>169440</v>
      </c>
      <c r="C166" s="53">
        <f t="shared" si="0"/>
        <v>376</v>
      </c>
      <c r="D166" s="53">
        <f t="shared" si="0"/>
        <v>5541</v>
      </c>
      <c r="E166" s="53">
        <f t="shared" si="0"/>
        <v>6000</v>
      </c>
      <c r="F166" s="53">
        <f t="shared" si="0"/>
        <v>157523</v>
      </c>
    </row>
    <row r="167" spans="1:8" x14ac:dyDescent="0.2">
      <c r="A167" s="77" t="s">
        <v>32</v>
      </c>
      <c r="B167" s="53">
        <f t="shared" si="0"/>
        <v>165452</v>
      </c>
      <c r="C167" s="53">
        <f t="shared" si="0"/>
        <v>320</v>
      </c>
      <c r="D167" s="53">
        <f t="shared" si="0"/>
        <v>5528</v>
      </c>
      <c r="E167" s="53">
        <f t="shared" si="0"/>
        <v>5962</v>
      </c>
      <c r="F167" s="53">
        <f t="shared" si="0"/>
        <v>153642</v>
      </c>
    </row>
    <row r="168" spans="1:8" x14ac:dyDescent="0.2">
      <c r="A168" s="77" t="s">
        <v>33</v>
      </c>
      <c r="B168" s="53">
        <f t="shared" si="0"/>
        <v>168505</v>
      </c>
      <c r="C168" s="53">
        <f t="shared" si="0"/>
        <v>375</v>
      </c>
      <c r="D168" s="53">
        <f t="shared" si="0"/>
        <v>5482</v>
      </c>
      <c r="E168" s="53">
        <f t="shared" si="0"/>
        <v>5984</v>
      </c>
      <c r="F168" s="53">
        <f t="shared" si="0"/>
        <v>156664</v>
      </c>
    </row>
    <row r="169" spans="1:8" x14ac:dyDescent="0.2">
      <c r="A169" s="77" t="s">
        <v>34</v>
      </c>
      <c r="B169" s="53">
        <f t="shared" ref="B169:F170" si="1">B16+B67+B118</f>
        <v>164525</v>
      </c>
      <c r="C169" s="53">
        <f t="shared" si="1"/>
        <v>319</v>
      </c>
      <c r="D169" s="53">
        <f t="shared" si="1"/>
        <v>5469</v>
      </c>
      <c r="E169" s="53">
        <f t="shared" si="1"/>
        <v>5946</v>
      </c>
      <c r="F169" s="53">
        <f t="shared" si="1"/>
        <v>152791</v>
      </c>
    </row>
    <row r="170" spans="1:8" s="42" customFormat="1" x14ac:dyDescent="0.2">
      <c r="A170" s="77" t="s">
        <v>35</v>
      </c>
      <c r="B170" s="53">
        <f t="shared" si="1"/>
        <v>159573</v>
      </c>
      <c r="C170" s="53">
        <f t="shared" si="1"/>
        <v>318</v>
      </c>
      <c r="D170" s="53">
        <f t="shared" si="1"/>
        <v>2592</v>
      </c>
      <c r="E170" s="53">
        <f t="shared" si="1"/>
        <v>5886</v>
      </c>
      <c r="F170" s="53">
        <f t="shared" si="1"/>
        <v>150777</v>
      </c>
      <c r="G170" s="3"/>
      <c r="H170" s="4"/>
    </row>
    <row r="171" spans="1:8" s="42" customFormat="1" x14ac:dyDescent="0.2">
      <c r="A171" s="77" t="s">
        <v>71</v>
      </c>
      <c r="B171" s="53">
        <f t="shared" si="0"/>
        <v>916</v>
      </c>
      <c r="C171" s="53">
        <f t="shared" si="0"/>
        <v>1</v>
      </c>
      <c r="D171" s="53">
        <f t="shared" si="0"/>
        <v>59</v>
      </c>
      <c r="E171" s="53">
        <f t="shared" si="0"/>
        <v>16</v>
      </c>
      <c r="F171" s="53">
        <f t="shared" si="0"/>
        <v>840</v>
      </c>
      <c r="G171" s="3"/>
      <c r="H171" s="4"/>
    </row>
    <row r="172" spans="1:8" s="42" customFormat="1" x14ac:dyDescent="0.2">
      <c r="A172" s="77" t="s">
        <v>72</v>
      </c>
      <c r="B172" s="53">
        <f t="shared" si="0"/>
        <v>752</v>
      </c>
      <c r="C172" s="53">
        <f t="shared" si="0"/>
        <v>1</v>
      </c>
      <c r="D172" s="53">
        <f t="shared" si="0"/>
        <v>3</v>
      </c>
      <c r="E172" s="53">
        <f t="shared" si="0"/>
        <v>13</v>
      </c>
      <c r="F172" s="53">
        <f t="shared" si="0"/>
        <v>735</v>
      </c>
      <c r="G172" s="3"/>
      <c r="H172" s="4"/>
    </row>
    <row r="173" spans="1:8" s="42" customFormat="1" x14ac:dyDescent="0.2">
      <c r="A173" s="77" t="s">
        <v>37</v>
      </c>
      <c r="B173" s="53">
        <f t="shared" si="0"/>
        <v>19</v>
      </c>
      <c r="C173" s="53">
        <f t="shared" si="0"/>
        <v>0</v>
      </c>
      <c r="D173" s="53">
        <f t="shared" si="0"/>
        <v>0</v>
      </c>
      <c r="E173" s="53">
        <f t="shared" si="0"/>
        <v>0</v>
      </c>
      <c r="F173" s="53">
        <f t="shared" si="0"/>
        <v>19</v>
      </c>
      <c r="G173" s="3"/>
      <c r="H173" s="4"/>
    </row>
    <row r="174" spans="1:8" s="42" customFormat="1" x14ac:dyDescent="0.2">
      <c r="A174" s="77" t="s">
        <v>38</v>
      </c>
      <c r="B174" s="53">
        <f t="shared" si="0"/>
        <v>134423</v>
      </c>
      <c r="C174" s="53">
        <f t="shared" si="0"/>
        <v>108</v>
      </c>
      <c r="D174" s="53">
        <f t="shared" si="0"/>
        <v>2168</v>
      </c>
      <c r="E174" s="53">
        <f t="shared" si="0"/>
        <v>4619</v>
      </c>
      <c r="F174" s="53">
        <f t="shared" si="0"/>
        <v>127528</v>
      </c>
      <c r="G174" s="3"/>
      <c r="H174" s="4"/>
    </row>
    <row r="175" spans="1:8" s="42" customFormat="1" x14ac:dyDescent="0.2">
      <c r="A175" s="77" t="s">
        <v>39</v>
      </c>
      <c r="B175" s="53">
        <f t="shared" si="0"/>
        <v>132417</v>
      </c>
      <c r="C175" s="53">
        <f t="shared" si="0"/>
        <v>107</v>
      </c>
      <c r="D175" s="53">
        <f t="shared" si="0"/>
        <v>2147</v>
      </c>
      <c r="E175" s="53">
        <f t="shared" si="0"/>
        <v>4578</v>
      </c>
      <c r="F175" s="53">
        <f t="shared" si="0"/>
        <v>125585</v>
      </c>
      <c r="G175" s="3"/>
      <c r="H175" s="4"/>
    </row>
    <row r="176" spans="1:8" s="42" customFormat="1" x14ac:dyDescent="0.2">
      <c r="A176" s="77" t="s">
        <v>40</v>
      </c>
      <c r="B176" s="53">
        <f t="shared" si="0"/>
        <v>35017</v>
      </c>
      <c r="C176" s="53">
        <f t="shared" si="0"/>
        <v>268</v>
      </c>
      <c r="D176" s="53">
        <f t="shared" si="0"/>
        <v>3373</v>
      </c>
      <c r="E176" s="53">
        <f t="shared" si="0"/>
        <v>1381</v>
      </c>
      <c r="F176" s="53">
        <f t="shared" si="0"/>
        <v>29995</v>
      </c>
      <c r="G176" s="3"/>
      <c r="H176" s="4"/>
    </row>
    <row r="177" spans="1:8" s="42" customFormat="1" x14ac:dyDescent="0.2">
      <c r="A177" s="77" t="s">
        <v>41</v>
      </c>
      <c r="B177" s="53">
        <f t="shared" si="0"/>
        <v>27917</v>
      </c>
      <c r="C177" s="53">
        <f t="shared" si="0"/>
        <v>212</v>
      </c>
      <c r="D177" s="53">
        <f t="shared" si="0"/>
        <v>448</v>
      </c>
      <c r="E177" s="53">
        <f t="shared" si="0"/>
        <v>1321</v>
      </c>
      <c r="F177" s="53">
        <f t="shared" si="0"/>
        <v>25936</v>
      </c>
      <c r="G177" s="3"/>
      <c r="H177" s="4"/>
    </row>
    <row r="178" spans="1:8" x14ac:dyDescent="0.2">
      <c r="A178" s="77" t="s">
        <v>42</v>
      </c>
      <c r="B178" s="53">
        <f t="shared" si="0"/>
        <v>42243</v>
      </c>
      <c r="C178" s="53">
        <f t="shared" si="0"/>
        <v>106</v>
      </c>
      <c r="D178" s="53">
        <f t="shared" si="0"/>
        <v>180</v>
      </c>
      <c r="E178" s="53">
        <f t="shared" si="0"/>
        <v>371</v>
      </c>
      <c r="F178" s="53">
        <f t="shared" si="0"/>
        <v>41586</v>
      </c>
    </row>
    <row r="179" spans="1:8" x14ac:dyDescent="0.2">
      <c r="A179" s="77" t="s">
        <v>43</v>
      </c>
      <c r="B179" s="53">
        <f t="shared" si="0"/>
        <v>167186</v>
      </c>
      <c r="C179" s="53">
        <f t="shared" si="0"/>
        <v>376</v>
      </c>
      <c r="D179" s="53">
        <f t="shared" si="0"/>
        <v>3293</v>
      </c>
      <c r="E179" s="53">
        <f t="shared" si="0"/>
        <v>6000</v>
      </c>
      <c r="F179" s="53">
        <f t="shared" si="0"/>
        <v>157517</v>
      </c>
    </row>
    <row r="180" spans="1:8" x14ac:dyDescent="0.2">
      <c r="A180" s="77" t="s">
        <v>44</v>
      </c>
      <c r="B180" s="53">
        <f t="shared" si="0"/>
        <v>2254</v>
      </c>
      <c r="C180" s="53">
        <f t="shared" si="0"/>
        <v>0</v>
      </c>
      <c r="D180" s="53">
        <f t="shared" si="0"/>
        <v>2248</v>
      </c>
      <c r="E180" s="53">
        <f t="shared" si="0"/>
        <v>0</v>
      </c>
      <c r="F180" s="53">
        <f t="shared" si="0"/>
        <v>6</v>
      </c>
    </row>
    <row r="181" spans="1:8" ht="13.5" thickBot="1" x14ac:dyDescent="0.25">
      <c r="A181" s="77" t="s">
        <v>45</v>
      </c>
      <c r="B181" s="53">
        <f t="shared" si="0"/>
        <v>83</v>
      </c>
      <c r="C181" s="53">
        <f t="shared" si="0"/>
        <v>0</v>
      </c>
      <c r="D181" s="53">
        <f t="shared" si="0"/>
        <v>0</v>
      </c>
      <c r="E181" s="53">
        <f t="shared" si="0"/>
        <v>3</v>
      </c>
      <c r="F181" s="53">
        <f t="shared" si="0"/>
        <v>80</v>
      </c>
    </row>
    <row r="182" spans="1:8" ht="13.5" thickBot="1" x14ac:dyDescent="0.25">
      <c r="A182" s="1" t="s">
        <v>46</v>
      </c>
      <c r="B182" s="82"/>
      <c r="C182" s="82"/>
      <c r="D182" s="82"/>
      <c r="E182" s="82"/>
      <c r="F182" s="83"/>
    </row>
    <row r="183" spans="1:8" x14ac:dyDescent="0.2">
      <c r="A183" s="77" t="s">
        <v>47</v>
      </c>
      <c r="B183" s="53"/>
      <c r="C183" s="53"/>
      <c r="D183" s="53"/>
      <c r="E183" s="53"/>
      <c r="F183" s="53"/>
    </row>
    <row r="184" spans="1:8" ht="13.5" thickBot="1" x14ac:dyDescent="0.25">
      <c r="A184" s="77" t="s">
        <v>48</v>
      </c>
      <c r="B184" s="53"/>
      <c r="C184" s="53"/>
      <c r="D184" s="53"/>
      <c r="E184" s="53"/>
      <c r="F184" s="53"/>
    </row>
    <row r="185" spans="1:8" ht="13.5" thickBot="1" x14ac:dyDescent="0.25">
      <c r="A185" s="1" t="s">
        <v>49</v>
      </c>
      <c r="B185" s="82"/>
      <c r="C185" s="82"/>
      <c r="D185" s="82"/>
      <c r="E185" s="82"/>
      <c r="F185" s="83"/>
    </row>
    <row r="186" spans="1:8" x14ac:dyDescent="0.2">
      <c r="A186" s="77" t="s">
        <v>50</v>
      </c>
      <c r="B186" s="52">
        <f t="shared" ref="B186:F188" si="2">B33+B84+B135</f>
        <v>4229</v>
      </c>
      <c r="C186" s="52">
        <f t="shared" si="2"/>
        <v>43</v>
      </c>
      <c r="D186" s="52">
        <f t="shared" si="2"/>
        <v>160</v>
      </c>
      <c r="E186" s="52">
        <f t="shared" si="2"/>
        <v>114</v>
      </c>
      <c r="F186" s="52">
        <f t="shared" si="2"/>
        <v>3912</v>
      </c>
    </row>
    <row r="187" spans="1:8" x14ac:dyDescent="0.2">
      <c r="A187" s="77" t="s">
        <v>51</v>
      </c>
      <c r="B187" s="53">
        <f t="shared" si="2"/>
        <v>211</v>
      </c>
      <c r="C187" s="53">
        <f t="shared" si="2"/>
        <v>0</v>
      </c>
      <c r="D187" s="53">
        <f t="shared" si="2"/>
        <v>11</v>
      </c>
      <c r="E187" s="53">
        <f t="shared" si="2"/>
        <v>13</v>
      </c>
      <c r="F187" s="53">
        <f t="shared" si="2"/>
        <v>187</v>
      </c>
    </row>
    <row r="188" spans="1:8" x14ac:dyDescent="0.2">
      <c r="A188" s="77" t="s">
        <v>52</v>
      </c>
      <c r="B188" s="53">
        <f t="shared" si="2"/>
        <v>2526</v>
      </c>
      <c r="C188" s="53">
        <f t="shared" si="2"/>
        <v>18</v>
      </c>
      <c r="D188" s="53">
        <f t="shared" si="2"/>
        <v>128</v>
      </c>
      <c r="E188" s="53">
        <f t="shared" si="2"/>
        <v>76</v>
      </c>
      <c r="F188" s="53">
        <f t="shared" si="2"/>
        <v>2304</v>
      </c>
    </row>
    <row r="189" spans="1:8" x14ac:dyDescent="0.2">
      <c r="A189" s="77" t="s">
        <v>53</v>
      </c>
      <c r="B189" s="53">
        <f t="shared" ref="B189:F195" si="3">B36+B87+B138</f>
        <v>1949</v>
      </c>
      <c r="C189" s="53">
        <f t="shared" si="3"/>
        <v>1</v>
      </c>
      <c r="D189" s="53">
        <f t="shared" si="3"/>
        <v>49</v>
      </c>
      <c r="E189" s="53">
        <f t="shared" si="3"/>
        <v>50</v>
      </c>
      <c r="F189" s="53">
        <f t="shared" si="3"/>
        <v>1849</v>
      </c>
    </row>
    <row r="190" spans="1:8" x14ac:dyDescent="0.2">
      <c r="A190" s="77" t="s">
        <v>73</v>
      </c>
      <c r="B190" s="53">
        <f t="shared" si="3"/>
        <v>1046</v>
      </c>
      <c r="C190" s="53">
        <f t="shared" si="3"/>
        <v>0</v>
      </c>
      <c r="D190" s="53">
        <f t="shared" si="3"/>
        <v>25</v>
      </c>
      <c r="E190" s="53">
        <f t="shared" si="3"/>
        <v>24</v>
      </c>
      <c r="F190" s="53">
        <f t="shared" si="3"/>
        <v>997</v>
      </c>
    </row>
    <row r="191" spans="1:8" x14ac:dyDescent="0.2">
      <c r="A191" s="77" t="s">
        <v>55</v>
      </c>
      <c r="B191" s="53">
        <f t="shared" si="3"/>
        <v>4229</v>
      </c>
      <c r="C191" s="53">
        <f t="shared" si="3"/>
        <v>43</v>
      </c>
      <c r="D191" s="53">
        <f t="shared" si="3"/>
        <v>160</v>
      </c>
      <c r="E191" s="53">
        <f t="shared" si="3"/>
        <v>114</v>
      </c>
      <c r="F191" s="53">
        <f t="shared" si="3"/>
        <v>3912</v>
      </c>
    </row>
    <row r="192" spans="1:8" x14ac:dyDescent="0.2">
      <c r="A192" s="77" t="s">
        <v>56</v>
      </c>
      <c r="B192" s="53">
        <f t="shared" si="3"/>
        <v>6649</v>
      </c>
      <c r="C192" s="53">
        <f t="shared" si="3"/>
        <v>67</v>
      </c>
      <c r="D192" s="53">
        <f t="shared" si="3"/>
        <v>98</v>
      </c>
      <c r="E192" s="53">
        <f t="shared" si="3"/>
        <v>82</v>
      </c>
      <c r="F192" s="53">
        <f t="shared" si="3"/>
        <v>6402</v>
      </c>
    </row>
    <row r="193" spans="1:6" x14ac:dyDescent="0.2">
      <c r="A193" s="77" t="s">
        <v>57</v>
      </c>
      <c r="B193" s="53">
        <f t="shared" si="3"/>
        <v>444</v>
      </c>
      <c r="C193" s="53">
        <f t="shared" si="3"/>
        <v>1</v>
      </c>
      <c r="D193" s="53">
        <f t="shared" si="3"/>
        <v>1</v>
      </c>
      <c r="E193" s="53">
        <f t="shared" si="3"/>
        <v>3</v>
      </c>
      <c r="F193" s="53">
        <f t="shared" si="3"/>
        <v>439</v>
      </c>
    </row>
    <row r="194" spans="1:6" x14ac:dyDescent="0.2">
      <c r="A194" s="77" t="s">
        <v>58</v>
      </c>
      <c r="B194" s="53">
        <f t="shared" si="3"/>
        <v>625</v>
      </c>
      <c r="C194" s="53">
        <f t="shared" si="3"/>
        <v>4</v>
      </c>
      <c r="D194" s="53">
        <f t="shared" si="3"/>
        <v>0</v>
      </c>
      <c r="E194" s="53">
        <f t="shared" si="3"/>
        <v>12</v>
      </c>
      <c r="F194" s="53">
        <f t="shared" si="3"/>
        <v>609</v>
      </c>
    </row>
    <row r="195" spans="1:6" ht="13.5" thickBot="1" x14ac:dyDescent="0.25">
      <c r="A195" s="77" t="s">
        <v>59</v>
      </c>
      <c r="B195" s="53">
        <f t="shared" si="3"/>
        <v>6649</v>
      </c>
      <c r="C195" s="53">
        <f t="shared" si="3"/>
        <v>67</v>
      </c>
      <c r="D195" s="53">
        <f t="shared" si="3"/>
        <v>98</v>
      </c>
      <c r="E195" s="53">
        <f t="shared" si="3"/>
        <v>82</v>
      </c>
      <c r="F195" s="53">
        <f t="shared" si="3"/>
        <v>6402</v>
      </c>
    </row>
    <row r="196" spans="1:6" ht="13.5" thickBot="1" x14ac:dyDescent="0.25">
      <c r="A196" s="2" t="s">
        <v>60</v>
      </c>
      <c r="B196" s="85"/>
      <c r="C196" s="82"/>
      <c r="D196" s="82"/>
      <c r="E196" s="82"/>
      <c r="F196" s="83"/>
    </row>
    <row r="197" spans="1:6" x14ac:dyDescent="0.2">
      <c r="A197" s="86" t="s">
        <v>61</v>
      </c>
      <c r="B197" s="53">
        <f t="shared" ref="B197:F200" si="4">B44+B95+B146</f>
        <v>169440</v>
      </c>
      <c r="C197" s="53">
        <f t="shared" si="4"/>
        <v>376</v>
      </c>
      <c r="D197" s="53">
        <f t="shared" si="4"/>
        <v>5541</v>
      </c>
      <c r="E197" s="53">
        <f t="shared" si="4"/>
        <v>6000</v>
      </c>
      <c r="F197" s="53">
        <f t="shared" si="4"/>
        <v>157523</v>
      </c>
    </row>
    <row r="198" spans="1:6" x14ac:dyDescent="0.2">
      <c r="A198" s="86" t="s">
        <v>62</v>
      </c>
      <c r="B198" s="53">
        <f t="shared" si="4"/>
        <v>159573</v>
      </c>
      <c r="C198" s="53">
        <f t="shared" si="4"/>
        <v>318</v>
      </c>
      <c r="D198" s="53">
        <f t="shared" si="4"/>
        <v>2592</v>
      </c>
      <c r="E198" s="53">
        <f t="shared" si="4"/>
        <v>5886</v>
      </c>
      <c r="F198" s="53">
        <f t="shared" si="4"/>
        <v>150777</v>
      </c>
    </row>
    <row r="199" spans="1:6" x14ac:dyDescent="0.2">
      <c r="A199" s="86" t="s">
        <v>63</v>
      </c>
      <c r="B199" s="53">
        <f t="shared" si="4"/>
        <v>0</v>
      </c>
      <c r="C199" s="53">
        <f t="shared" si="4"/>
        <v>0</v>
      </c>
      <c r="D199" s="53">
        <f t="shared" si="4"/>
        <v>0</v>
      </c>
      <c r="E199" s="53">
        <f t="shared" si="4"/>
        <v>0</v>
      </c>
      <c r="F199" s="53">
        <f t="shared" si="4"/>
        <v>0</v>
      </c>
    </row>
    <row r="200" spans="1:6" ht="13.5" thickBot="1" x14ac:dyDescent="0.25">
      <c r="A200" s="86" t="s">
        <v>64</v>
      </c>
      <c r="B200" s="53">
        <f t="shared" si="4"/>
        <v>1</v>
      </c>
      <c r="C200" s="53">
        <f t="shared" si="4"/>
        <v>0</v>
      </c>
      <c r="D200" s="53">
        <f t="shared" si="4"/>
        <v>0</v>
      </c>
      <c r="E200" s="53">
        <f t="shared" si="4"/>
        <v>0</v>
      </c>
      <c r="F200" s="53">
        <f t="shared" si="4"/>
        <v>1</v>
      </c>
    </row>
    <row r="201" spans="1:6" x14ac:dyDescent="0.2">
      <c r="A201" s="34" t="s">
        <v>65</v>
      </c>
      <c r="B201" s="35" t="s">
        <v>66</v>
      </c>
      <c r="C201" s="17"/>
      <c r="D201" s="35" t="s">
        <v>75</v>
      </c>
      <c r="E201" s="17"/>
      <c r="F201" s="36" t="s">
        <v>68</v>
      </c>
    </row>
    <row r="202" spans="1:6" x14ac:dyDescent="0.2">
      <c r="A202" s="75" t="str">
        <f>A49</f>
        <v>//signed//</v>
      </c>
      <c r="B202" s="37" t="str">
        <f>B49</f>
        <v>Endstrength</v>
      </c>
      <c r="C202" s="43"/>
      <c r="D202" s="38"/>
      <c r="E202" s="43"/>
      <c r="F202" s="44"/>
    </row>
    <row r="203" spans="1:6" ht="13.5" thickBot="1" x14ac:dyDescent="0.25">
      <c r="A203" s="93" t="str">
        <f>A50</f>
        <v>KARI A. GISSEL, GS-13, USAF</v>
      </c>
      <c r="B203" s="89" t="str">
        <f>B50</f>
        <v>Management Branch</v>
      </c>
      <c r="C203" s="88"/>
      <c r="D203" s="89" t="str">
        <f>D50</f>
        <v>692-1295</v>
      </c>
      <c r="E203" s="88"/>
      <c r="F203" s="90">
        <f>F50</f>
        <v>41564</v>
      </c>
    </row>
    <row r="204" spans="1:6" ht="13.5" thickBot="1" x14ac:dyDescent="0.25">
      <c r="A204" s="59"/>
    </row>
    <row r="205" spans="1:6" x14ac:dyDescent="0.2">
      <c r="A205" s="101" t="s">
        <v>76</v>
      </c>
      <c r="B205" s="102"/>
    </row>
    <row r="206" spans="1:6" ht="13.5" thickBot="1" x14ac:dyDescent="0.25">
      <c r="A206" s="103" t="s">
        <v>77</v>
      </c>
      <c r="B206" s="104"/>
    </row>
    <row r="207" spans="1:6" x14ac:dyDescent="0.2">
      <c r="A207" s="105"/>
      <c r="B207" s="62"/>
    </row>
    <row r="208" spans="1:6" x14ac:dyDescent="0.2">
      <c r="A208" s="103" t="s">
        <v>78</v>
      </c>
      <c r="B208" s="60"/>
    </row>
    <row r="209" spans="1:8" ht="13.5" thickBot="1" x14ac:dyDescent="0.25">
      <c r="A209" s="106"/>
      <c r="B209" s="60"/>
    </row>
    <row r="210" spans="1:8" ht="13.5" thickBot="1" x14ac:dyDescent="0.25">
      <c r="A210" s="107" t="s">
        <v>79</v>
      </c>
      <c r="B210" s="108" t="s">
        <v>80</v>
      </c>
    </row>
    <row r="211" spans="1:8" x14ac:dyDescent="0.2">
      <c r="A211" s="106" t="s">
        <v>81</v>
      </c>
      <c r="B211" s="53">
        <f>'[1]113SF'!B211</f>
        <v>0</v>
      </c>
    </row>
    <row r="212" spans="1:8" x14ac:dyDescent="0.2">
      <c r="A212" s="106" t="s">
        <v>82</v>
      </c>
      <c r="B212" s="53">
        <f>'[1]113SF'!B212</f>
        <v>2294</v>
      </c>
    </row>
    <row r="213" spans="1:8" x14ac:dyDescent="0.2">
      <c r="A213" s="106" t="s">
        <v>83</v>
      </c>
      <c r="B213" s="53">
        <f>'[1]113SF'!B213</f>
        <v>0</v>
      </c>
    </row>
    <row r="214" spans="1:8" x14ac:dyDescent="0.2">
      <c r="A214" s="106" t="s">
        <v>84</v>
      </c>
      <c r="B214" s="53">
        <f>'[1]113SF'!B214</f>
        <v>3994</v>
      </c>
    </row>
    <row r="215" spans="1:8" x14ac:dyDescent="0.2">
      <c r="A215" s="106" t="s">
        <v>85</v>
      </c>
      <c r="B215" s="53">
        <f>'[1]113SF'!B215</f>
        <v>0</v>
      </c>
    </row>
    <row r="216" spans="1:8" x14ac:dyDescent="0.2">
      <c r="A216" s="106" t="s">
        <v>90</v>
      </c>
      <c r="B216" s="53">
        <f>'[1]113SF'!B216</f>
        <v>0</v>
      </c>
    </row>
    <row r="217" spans="1:8" ht="13.5" thickBot="1" x14ac:dyDescent="0.25">
      <c r="A217" s="89" t="s">
        <v>86</v>
      </c>
      <c r="B217" s="109">
        <f>'[1]113SF'!B217</f>
        <v>0</v>
      </c>
    </row>
    <row r="218" spans="1:8" ht="13.5" thickBot="1" x14ac:dyDescent="0.25">
      <c r="A218" s="89" t="s">
        <v>89</v>
      </c>
      <c r="B218" s="109">
        <f>'[1]113SF'!B218</f>
        <v>1</v>
      </c>
    </row>
    <row r="219" spans="1:8" ht="13.5" thickBot="1" x14ac:dyDescent="0.25">
      <c r="A219" s="89" t="s">
        <v>87</v>
      </c>
      <c r="B219" s="109">
        <f>SUM(B211:B218)</f>
        <v>6289</v>
      </c>
      <c r="D219" s="59" t="s">
        <v>36</v>
      </c>
    </row>
    <row r="220" spans="1:8" x14ac:dyDescent="0.2">
      <c r="A220" s="91"/>
    </row>
    <row r="222" spans="1:8" s="45" customFormat="1" x14ac:dyDescent="0.2">
      <c r="A222" s="77" t="s">
        <v>98</v>
      </c>
      <c r="B222" s="59"/>
      <c r="C222" s="59"/>
      <c r="D222" s="59"/>
      <c r="E222" s="59"/>
      <c r="F222" s="59"/>
      <c r="G222" s="46"/>
      <c r="H222" s="47"/>
    </row>
    <row r="224" spans="1:8" x14ac:dyDescent="0.2">
      <c r="A224" s="77" t="s">
        <v>88</v>
      </c>
      <c r="B224" s="110">
        <f>B166+B219</f>
        <v>175729</v>
      </c>
    </row>
  </sheetData>
  <phoneticPr fontId="4" type="noConversion"/>
  <pageMargins left="0.69" right="0.25" top="0.78" bottom="0.5" header="0.5" footer="0.5"/>
  <pageSetup scale="85" orientation="portrait" blackAndWhite="1" r:id="rId1"/>
  <headerFooter alignWithMargins="0"/>
  <rowBreaks count="4" manualBreakCount="4">
    <brk id="50" max="5" man="1"/>
    <brk id="101" max="5" man="1"/>
    <brk id="152" max="5" man="1"/>
    <brk id="203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113SF</vt:lpstr>
      <vt:lpstr>'113SF'!Print_Area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Valued Microsoft Customer</dc:creator>
  <cp:lastModifiedBy>Zachary Hofstra (Student)</cp:lastModifiedBy>
  <cp:lastPrinted>2011-11-15T20:13:31Z</cp:lastPrinted>
  <dcterms:created xsi:type="dcterms:W3CDTF">1998-02-17T13:40:50Z</dcterms:created>
  <dcterms:modified xsi:type="dcterms:W3CDTF">2025-11-09T19:10:47Z</dcterms:modified>
</cp:coreProperties>
</file>