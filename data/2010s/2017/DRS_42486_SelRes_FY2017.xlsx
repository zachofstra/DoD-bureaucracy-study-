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ersonal Folders\Seggerman_Scott\DRS 42486\"/>
    </mc:Choice>
  </mc:AlternateContent>
  <bookViews>
    <workbookView xWindow="3300" yWindow="2520" windowWidth="15600" windowHeight="7830" firstSheet="7" activeTab="11"/>
  </bookViews>
  <sheets>
    <sheet name="DRS 42486 - 201610" sheetId="1" r:id="rId1"/>
    <sheet name="DRS 42486 - 201611" sheetId="3" r:id="rId2"/>
    <sheet name="DRS 42486 - 201612" sheetId="9" r:id="rId3"/>
    <sheet name="DRS 42486 - 201701" sheetId="8" r:id="rId4"/>
    <sheet name="DRS 42486 - 201702" sheetId="7" r:id="rId5"/>
    <sheet name="DRS 42486 - 201703" sheetId="6" r:id="rId6"/>
    <sheet name="DRS 42486 - 201704" sheetId="5" r:id="rId7"/>
    <sheet name="DRS 42486 - 201705" sheetId="4" r:id="rId8"/>
    <sheet name="DRS 42486 - 201706" sheetId="2" r:id="rId9"/>
    <sheet name="DRS 42486 - 201707" sheetId="10" r:id="rId10"/>
    <sheet name="DRS 42486 - 201708" sheetId="12" r:id="rId11"/>
    <sheet name="DRS 42486 - 201709" sheetId="11" r:id="rId12"/>
  </sheets>
  <definedNames>
    <definedName name="_xlnm.Print_Area" localSheetId="0">'DRS 42486 - 201610'!$A$1:$J$38</definedName>
    <definedName name="_xlnm.Print_Area" localSheetId="1">'DRS 42486 - 201611'!$A$1:$J$38</definedName>
    <definedName name="_xlnm.Print_Area" localSheetId="2">'DRS 42486 - 201612'!$A$1:$J$38</definedName>
    <definedName name="_xlnm.Print_Area" localSheetId="3">'DRS 42486 - 201701'!$A$1:$J$38</definedName>
    <definedName name="_xlnm.Print_Area" localSheetId="4">'DRS 42486 - 201702'!$A$1:$J$38</definedName>
    <definedName name="_xlnm.Print_Area" localSheetId="5">'DRS 42486 - 201703'!$A$1:$J$38</definedName>
    <definedName name="_xlnm.Print_Area" localSheetId="6">'DRS 42486 - 201704'!$A$1:$J$38</definedName>
    <definedName name="_xlnm.Print_Area" localSheetId="7">'DRS 42486 - 201705'!$A$1:$J$38</definedName>
    <definedName name="_xlnm.Print_Area" localSheetId="8">'DRS 42486 - 201706'!$A$1:$J$38</definedName>
    <definedName name="_xlnm.Print_Area" localSheetId="9">'DRS 42486 - 201707'!$A$1:$J$38</definedName>
    <definedName name="_xlnm.Print_Area" localSheetId="10">'DRS 42486 - 201708'!$A$1:$J$38</definedName>
    <definedName name="_xlnm.Print_Area" localSheetId="11">'DRS 42486 - 201709'!$A$1:$J$38</definedName>
  </definedNames>
  <calcPr calcId="152511"/>
</workbook>
</file>

<file path=xl/calcChain.xml><?xml version="1.0" encoding="utf-8"?>
<calcChain xmlns="http://schemas.openxmlformats.org/spreadsheetml/2006/main">
  <c r="B24" i="12" l="1"/>
  <c r="C24" i="12"/>
  <c r="D24" i="12"/>
  <c r="D37" i="12" s="1"/>
  <c r="E24" i="12"/>
  <c r="E37" i="12" s="1"/>
  <c r="F24" i="12"/>
  <c r="G24" i="12"/>
  <c r="H24" i="12"/>
  <c r="H37" i="12" s="1"/>
  <c r="I24" i="12"/>
  <c r="I37" i="12" s="1"/>
  <c r="J24" i="12"/>
  <c r="B36" i="12"/>
  <c r="C36" i="12"/>
  <c r="D36" i="12"/>
  <c r="E36" i="12"/>
  <c r="F36" i="12"/>
  <c r="G36" i="12"/>
  <c r="H36" i="12"/>
  <c r="I36" i="12"/>
  <c r="J36" i="12"/>
  <c r="B37" i="12"/>
  <c r="C37" i="12"/>
  <c r="F37" i="12"/>
  <c r="G37" i="12"/>
  <c r="J37" i="12"/>
  <c r="B24" i="11"/>
  <c r="C24" i="11"/>
  <c r="D24" i="11"/>
  <c r="D37" i="11" s="1"/>
  <c r="E24" i="11"/>
  <c r="E37" i="11" s="1"/>
  <c r="F24" i="11"/>
  <c r="G24" i="11"/>
  <c r="H24" i="11"/>
  <c r="H37" i="11" s="1"/>
  <c r="I24" i="11"/>
  <c r="I37" i="11" s="1"/>
  <c r="J24" i="11"/>
  <c r="B36" i="11"/>
  <c r="C36" i="11"/>
  <c r="D36" i="11"/>
  <c r="E36" i="11"/>
  <c r="F36" i="11"/>
  <c r="G36" i="11"/>
  <c r="H36" i="11"/>
  <c r="I36" i="11"/>
  <c r="J36" i="11"/>
  <c r="B37" i="11"/>
  <c r="C37" i="11"/>
  <c r="F37" i="11"/>
  <c r="G37" i="11"/>
  <c r="J37" i="11"/>
  <c r="B24" i="10" l="1"/>
  <c r="B37" i="10" s="1"/>
  <c r="C24" i="10"/>
  <c r="C37" i="10" s="1"/>
  <c r="D24" i="10"/>
  <c r="E24" i="10"/>
  <c r="F24" i="10"/>
  <c r="G24" i="10"/>
  <c r="G37" i="10" s="1"/>
  <c r="H24" i="10"/>
  <c r="I24" i="10"/>
  <c r="J24" i="10"/>
  <c r="B36" i="10"/>
  <c r="C36" i="10"/>
  <c r="D36" i="10"/>
  <c r="E36" i="10"/>
  <c r="F36" i="10"/>
  <c r="F37" i="10" s="1"/>
  <c r="G36" i="10"/>
  <c r="H36" i="10"/>
  <c r="I36" i="10"/>
  <c r="J36" i="10"/>
  <c r="J37" i="10" s="1"/>
  <c r="D37" i="10"/>
  <c r="E37" i="10"/>
  <c r="H37" i="10"/>
  <c r="I37" i="10"/>
  <c r="B24" i="9" l="1"/>
  <c r="C24" i="9"/>
  <c r="D24" i="9"/>
  <c r="D37" i="9" s="1"/>
  <c r="E24" i="9"/>
  <c r="E37" i="9" s="1"/>
  <c r="F24" i="9"/>
  <c r="G24" i="9"/>
  <c r="H24" i="9"/>
  <c r="H37" i="9" s="1"/>
  <c r="I24" i="9"/>
  <c r="I37" i="9" s="1"/>
  <c r="J24" i="9"/>
  <c r="B36" i="9"/>
  <c r="C36" i="9"/>
  <c r="D36" i="9"/>
  <c r="E36" i="9"/>
  <c r="F36" i="9"/>
  <c r="G36" i="9"/>
  <c r="H36" i="9"/>
  <c r="I36" i="9"/>
  <c r="J36" i="9"/>
  <c r="B37" i="9"/>
  <c r="C37" i="9"/>
  <c r="F37" i="9"/>
  <c r="G37" i="9"/>
  <c r="J37" i="9"/>
  <c r="B24" i="8"/>
  <c r="C24" i="8"/>
  <c r="D24" i="8"/>
  <c r="E24" i="8"/>
  <c r="E37" i="8" s="1"/>
  <c r="F24" i="8"/>
  <c r="G24" i="8"/>
  <c r="H24" i="8"/>
  <c r="I24" i="8"/>
  <c r="I37" i="8" s="1"/>
  <c r="J24" i="8"/>
  <c r="B36" i="8"/>
  <c r="C36" i="8"/>
  <c r="D36" i="8"/>
  <c r="D37" i="8" s="1"/>
  <c r="E36" i="8"/>
  <c r="F36" i="8"/>
  <c r="G36" i="8"/>
  <c r="H36" i="8"/>
  <c r="H37" i="8" s="1"/>
  <c r="I36" i="8"/>
  <c r="J36" i="8"/>
  <c r="B37" i="8"/>
  <c r="C37" i="8"/>
  <c r="F37" i="8"/>
  <c r="G37" i="8"/>
  <c r="J37" i="8"/>
  <c r="B24" i="7"/>
  <c r="C24" i="7"/>
  <c r="D24" i="7"/>
  <c r="D37" i="7" s="1"/>
  <c r="E24" i="7"/>
  <c r="E37" i="7" s="1"/>
  <c r="F24" i="7"/>
  <c r="G24" i="7"/>
  <c r="H24" i="7"/>
  <c r="H37" i="7" s="1"/>
  <c r="I24" i="7"/>
  <c r="I37" i="7" s="1"/>
  <c r="J24" i="7"/>
  <c r="B36" i="7"/>
  <c r="C36" i="7"/>
  <c r="D36" i="7"/>
  <c r="E36" i="7"/>
  <c r="F36" i="7"/>
  <c r="G36" i="7"/>
  <c r="H36" i="7"/>
  <c r="I36" i="7"/>
  <c r="J36" i="7"/>
  <c r="B37" i="7"/>
  <c r="C37" i="7"/>
  <c r="F37" i="7"/>
  <c r="G37" i="7"/>
  <c r="J37" i="7"/>
  <c r="B24" i="6"/>
  <c r="B37" i="6" s="1"/>
  <c r="C24" i="6"/>
  <c r="D24" i="6"/>
  <c r="E24" i="6"/>
  <c r="E37" i="6" s="1"/>
  <c r="F24" i="6"/>
  <c r="F37" i="6" s="1"/>
  <c r="G24" i="6"/>
  <c r="H24" i="6"/>
  <c r="I24" i="6"/>
  <c r="I37" i="6" s="1"/>
  <c r="J24" i="6"/>
  <c r="J37" i="6" s="1"/>
  <c r="B36" i="6"/>
  <c r="C36" i="6"/>
  <c r="D36" i="6"/>
  <c r="E36" i="6"/>
  <c r="F36" i="6"/>
  <c r="G36" i="6"/>
  <c r="H36" i="6"/>
  <c r="I36" i="6"/>
  <c r="J36" i="6"/>
  <c r="C37" i="6"/>
  <c r="D37" i="6"/>
  <c r="G37" i="6"/>
  <c r="H37" i="6"/>
  <c r="B24" i="5"/>
  <c r="C24" i="5"/>
  <c r="D24" i="5"/>
  <c r="D37" i="5" s="1"/>
  <c r="E24" i="5"/>
  <c r="E37" i="5" s="1"/>
  <c r="F24" i="5"/>
  <c r="G24" i="5"/>
  <c r="H24" i="5"/>
  <c r="H37" i="5" s="1"/>
  <c r="I24" i="5"/>
  <c r="I37" i="5" s="1"/>
  <c r="J24" i="5"/>
  <c r="B36" i="5"/>
  <c r="C36" i="5"/>
  <c r="D36" i="5"/>
  <c r="E36" i="5"/>
  <c r="F36" i="5"/>
  <c r="G36" i="5"/>
  <c r="H36" i="5"/>
  <c r="I36" i="5"/>
  <c r="J36" i="5"/>
  <c r="B37" i="5"/>
  <c r="C37" i="5"/>
  <c r="F37" i="5"/>
  <c r="G37" i="5"/>
  <c r="J37" i="5"/>
  <c r="B24" i="4"/>
  <c r="C24" i="4"/>
  <c r="D24" i="4"/>
  <c r="D37" i="4" s="1"/>
  <c r="E24" i="4"/>
  <c r="E37" i="4" s="1"/>
  <c r="F24" i="4"/>
  <c r="G24" i="4"/>
  <c r="H24" i="4"/>
  <c r="H37" i="4" s="1"/>
  <c r="I24" i="4"/>
  <c r="I37" i="4" s="1"/>
  <c r="J24" i="4"/>
  <c r="B36" i="4"/>
  <c r="C36" i="4"/>
  <c r="D36" i="4"/>
  <c r="E36" i="4"/>
  <c r="F36" i="4"/>
  <c r="G36" i="4"/>
  <c r="H36" i="4"/>
  <c r="I36" i="4"/>
  <c r="J36" i="4"/>
  <c r="B37" i="4"/>
  <c r="C37" i="4"/>
  <c r="F37" i="4"/>
  <c r="G37" i="4"/>
  <c r="J37" i="4"/>
  <c r="B24" i="3"/>
  <c r="C24" i="3"/>
  <c r="D24" i="3"/>
  <c r="E24" i="3"/>
  <c r="F24" i="3"/>
  <c r="G24" i="3"/>
  <c r="H24" i="3"/>
  <c r="I24" i="3"/>
  <c r="J24" i="3"/>
  <c r="B36" i="3"/>
  <c r="B37" i="3" s="1"/>
  <c r="C36" i="3"/>
  <c r="D36" i="3"/>
  <c r="D37" i="3" s="1"/>
  <c r="E36" i="3"/>
  <c r="F36" i="3"/>
  <c r="F37" i="3" s="1"/>
  <c r="G36" i="3"/>
  <c r="H36" i="3"/>
  <c r="H37" i="3" s="1"/>
  <c r="I36" i="3"/>
  <c r="J36" i="3"/>
  <c r="J37" i="3" s="1"/>
  <c r="C37" i="3"/>
  <c r="E37" i="3"/>
  <c r="G37" i="3"/>
  <c r="I37" i="3"/>
  <c r="B24" i="2"/>
  <c r="C24" i="2"/>
  <c r="D24" i="2"/>
  <c r="E24" i="2"/>
  <c r="E37" i="2" s="1"/>
  <c r="F24" i="2"/>
  <c r="G24" i="2"/>
  <c r="H24" i="2"/>
  <c r="I24" i="2"/>
  <c r="I37" i="2" s="1"/>
  <c r="J24" i="2"/>
  <c r="B36" i="2"/>
  <c r="C36" i="2"/>
  <c r="D36" i="2"/>
  <c r="D37" i="2" s="1"/>
  <c r="E36" i="2"/>
  <c r="F36" i="2"/>
  <c r="G36" i="2"/>
  <c r="H36" i="2"/>
  <c r="H37" i="2" s="1"/>
  <c r="I36" i="2"/>
  <c r="J36" i="2"/>
  <c r="B37" i="2"/>
  <c r="C37" i="2"/>
  <c r="F37" i="2"/>
  <c r="G37" i="2"/>
  <c r="J37" i="2"/>
  <c r="C24" i="1" l="1"/>
  <c r="D24" i="1"/>
  <c r="E24" i="1"/>
  <c r="F24" i="1"/>
  <c r="G24" i="1"/>
  <c r="H24" i="1"/>
  <c r="I24" i="1"/>
  <c r="J24" i="1"/>
  <c r="B24" i="1"/>
  <c r="I36" i="1" l="1"/>
  <c r="C36" i="1"/>
  <c r="D36" i="1"/>
  <c r="E36" i="1"/>
  <c r="F36" i="1"/>
  <c r="G36" i="1"/>
  <c r="B36" i="1"/>
  <c r="I37" i="1" l="1"/>
  <c r="J36" i="1" l="1"/>
  <c r="H36" i="1"/>
  <c r="E37" i="1" l="1"/>
  <c r="F37" i="1"/>
  <c r="J37" i="1" l="1"/>
  <c r="H37" i="1" l="1"/>
  <c r="C37" i="1" l="1"/>
  <c r="D37" i="1"/>
  <c r="G37" i="1"/>
  <c r="B37" i="1" l="1"/>
</calcChain>
</file>

<file path=xl/sharedStrings.xml><?xml version="1.0" encoding="utf-8"?>
<sst xmlns="http://schemas.openxmlformats.org/spreadsheetml/2006/main" count="514" uniqueCount="57">
  <si>
    <t>Rank/Grade</t>
  </si>
  <si>
    <t>GENERAL       -ADMIRAL</t>
  </si>
  <si>
    <t>LT GENERAL    -VICE ADMIRAL</t>
  </si>
  <si>
    <t>MAJ GENERAL   -REAR ADMIRAL(U)</t>
  </si>
  <si>
    <t>BRIG GENERAL  -REAR ADMIRAL(L)</t>
  </si>
  <si>
    <t>COLONEL       -CAPTAIN</t>
  </si>
  <si>
    <t>LIEUTENANT COL-COMMANDER</t>
  </si>
  <si>
    <t>MAJOR         -LT COMMANDER</t>
  </si>
  <si>
    <t>CAPTAIN       -LIEUTENANT</t>
  </si>
  <si>
    <t>Ist LIEUTENANT-LIEUTENANT(JG)</t>
  </si>
  <si>
    <t>2nd LIEUTENANT-ENSIGN</t>
  </si>
  <si>
    <t>CHIEF WARRANT OFFICER W-5</t>
  </si>
  <si>
    <t>CHIEF WARRANT OFFICER W-4</t>
  </si>
  <si>
    <t>CHIEF WARRANT OFFICER W-3</t>
  </si>
  <si>
    <t>CHIEF WARRANT OFFICER W-2</t>
  </si>
  <si>
    <t>WARRANT OFFICER W-1</t>
  </si>
  <si>
    <t>TOTAL OFFICER</t>
  </si>
  <si>
    <t>E-9</t>
  </si>
  <si>
    <t>E-8</t>
  </si>
  <si>
    <t>E-7</t>
  </si>
  <si>
    <t>E-6</t>
  </si>
  <si>
    <t>E-5</t>
  </si>
  <si>
    <t>E-4</t>
  </si>
  <si>
    <t>E-3</t>
  </si>
  <si>
    <t>E-2</t>
  </si>
  <si>
    <t>E-1</t>
  </si>
  <si>
    <t>TOTAL ENLISTED</t>
  </si>
  <si>
    <t>GRAND TOTAL</t>
  </si>
  <si>
    <t>Department of Defense</t>
  </si>
  <si>
    <t>Selected Reserves by Rank/Grade</t>
  </si>
  <si>
    <t>Army National Guard</t>
  </si>
  <si>
    <t>Army Reserve</t>
  </si>
  <si>
    <t>Navy Reserve</t>
  </si>
  <si>
    <t>Marine Corps Reserve</t>
  </si>
  <si>
    <t>Air National Guard</t>
  </si>
  <si>
    <t>Air Force Reserve</t>
  </si>
  <si>
    <t>Total DoD</t>
  </si>
  <si>
    <t>TOTAL</t>
  </si>
  <si>
    <t xml:space="preserve"> </t>
  </si>
  <si>
    <t>Coast Guard Reserve</t>
  </si>
  <si>
    <t xml:space="preserve"> October 31, 2016</t>
  </si>
  <si>
    <t>ENLISTED UNKNOWN GRADE</t>
  </si>
  <si>
    <t>OFFICER UNKNOWN GRADE</t>
  </si>
  <si>
    <t>ENLISTED UNKNOWN PAY GRADE</t>
  </si>
  <si>
    <t>OFFICER UNKNOWN PAY GRADE</t>
  </si>
  <si>
    <t>tom</t>
  </si>
  <si>
    <t xml:space="preserve"> November 30, 2016</t>
  </si>
  <si>
    <t xml:space="preserve"> May 31, 2017</t>
  </si>
  <si>
    <t xml:space="preserve"> April 30, 2017</t>
  </si>
  <si>
    <t xml:space="preserve"> March 31, 2017</t>
  </si>
  <si>
    <t xml:space="preserve"> February 28, 2017</t>
  </si>
  <si>
    <t xml:space="preserve"> January 31, 2017</t>
  </si>
  <si>
    <t xml:space="preserve"> December 31, 2016</t>
  </si>
  <si>
    <t xml:space="preserve"> July 31, 2017</t>
  </si>
  <si>
    <t>End strength numbers do not include any Reserve Component member who has served over 1,095 days for operational support.</t>
  </si>
  <si>
    <t xml:space="preserve"> September 30, 2017</t>
  </si>
  <si>
    <t xml:space="preserve"> August 31,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</si>
</sst>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Courier New"/>
      <family val="3"/>
    </font>
    <font>
      <b/>
      <sz val="10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8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2" fillId="9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7" fillId="33" borderId="0" applyNumberFormat="0" applyBorder="0" applyAlignment="0" applyProtection="0"/>
    <xf numFmtId="0" fontId="18" fillId="0" borderId="0"/>
    <xf numFmtId="0" fontId="19" fillId="0" borderId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0" fillId="0" borderId="0"/>
    <xf numFmtId="0" fontId="21" fillId="0" borderId="0"/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5" fillId="0" borderId="0"/>
  </cellStyleXfs>
  <cellXfs count="63">
    <xf numFmtId="0" fontId="0" fillId="0" borderId="0" xfId="0"/>
    <xf numFmtId="0" fontId="1" fillId="0" borderId="0" xfId="0" applyFont="1"/>
    <xf numFmtId="3" fontId="0" fillId="0" borderId="1" xfId="0" applyNumberFormat="1" applyBorder="1"/>
    <xf numFmtId="3" fontId="0" fillId="0" borderId="12" xfId="0" applyNumberFormat="1" applyBorder="1"/>
    <xf numFmtId="3" fontId="0" fillId="0" borderId="17" xfId="0" applyNumberFormat="1" applyBorder="1"/>
    <xf numFmtId="3" fontId="0" fillId="0" borderId="16" xfId="0" applyNumberFormat="1" applyBorder="1"/>
    <xf numFmtId="3" fontId="0" fillId="0" borderId="13" xfId="0" applyNumberFormat="1" applyBorder="1"/>
    <xf numFmtId="3" fontId="0" fillId="0" borderId="15" xfId="0" applyNumberFormat="1" applyBorder="1"/>
    <xf numFmtId="3" fontId="0" fillId="0" borderId="14" xfId="0" applyNumberFormat="1" applyBorder="1"/>
    <xf numFmtId="0" fontId="27" fillId="0" borderId="19" xfId="0" applyFont="1" applyBorder="1"/>
    <xf numFmtId="3" fontId="0" fillId="0" borderId="0" xfId="0" applyNumberFormat="1"/>
    <xf numFmtId="0" fontId="0" fillId="0" borderId="0" xfId="0" applyAlignment="1">
      <alignment wrapText="1"/>
    </xf>
    <xf numFmtId="0" fontId="30" fillId="0" borderId="25" xfId="0" applyFont="1" applyBorder="1" applyAlignment="1">
      <alignment horizontal="center" wrapText="1"/>
    </xf>
    <xf numFmtId="0" fontId="30" fillId="0" borderId="24" xfId="0" applyFont="1" applyFill="1" applyBorder="1" applyAlignment="1">
      <alignment horizontal="center" wrapText="1"/>
    </xf>
    <xf numFmtId="0" fontId="30" fillId="0" borderId="33" xfId="0" applyFont="1" applyBorder="1" applyAlignment="1">
      <alignment vertical="center" wrapText="1"/>
    </xf>
    <xf numFmtId="0" fontId="30" fillId="0" borderId="34" xfId="0" applyFont="1" applyBorder="1" applyAlignment="1">
      <alignment horizontal="center" wrapText="1"/>
    </xf>
    <xf numFmtId="0" fontId="26" fillId="0" borderId="33" xfId="0" applyFont="1" applyBorder="1"/>
    <xf numFmtId="3" fontId="0" fillId="0" borderId="35" xfId="0" applyNumberFormat="1" applyFill="1" applyBorder="1"/>
    <xf numFmtId="0" fontId="27" fillId="0" borderId="33" xfId="0" applyFont="1" applyBorder="1"/>
    <xf numFmtId="3" fontId="0" fillId="0" borderId="36" xfId="0" applyNumberFormat="1" applyBorder="1"/>
    <xf numFmtId="0" fontId="27" fillId="0" borderId="37" xfId="0" applyFont="1" applyBorder="1"/>
    <xf numFmtId="3" fontId="0" fillId="0" borderId="35" xfId="0" applyNumberFormat="1" applyBorder="1"/>
    <xf numFmtId="0" fontId="30" fillId="0" borderId="25" xfId="0" applyFont="1" applyFill="1" applyBorder="1" applyAlignment="1">
      <alignment horizontal="center" wrapText="1"/>
    </xf>
    <xf numFmtId="3" fontId="0" fillId="0" borderId="22" xfId="0" applyNumberFormat="1" applyBorder="1"/>
    <xf numFmtId="3" fontId="0" fillId="0" borderId="11" xfId="0" applyNumberFormat="1" applyBorder="1"/>
    <xf numFmtId="3" fontId="0" fillId="0" borderId="21" xfId="0" applyNumberFormat="1" applyBorder="1"/>
    <xf numFmtId="0" fontId="30" fillId="0" borderId="42" xfId="0" applyFont="1" applyFill="1" applyBorder="1" applyAlignment="1">
      <alignment horizontal="center" wrapText="1"/>
    </xf>
    <xf numFmtId="3" fontId="1" fillId="34" borderId="45" xfId="0" applyNumberFormat="1" applyFont="1" applyFill="1" applyBorder="1" applyAlignment="1">
      <alignment vertical="center"/>
    </xf>
    <xf numFmtId="0" fontId="30" fillId="2" borderId="40" xfId="0" applyFont="1" applyFill="1" applyBorder="1" applyAlignment="1">
      <alignment horizontal="center" wrapText="1"/>
    </xf>
    <xf numFmtId="3" fontId="1" fillId="2" borderId="43" xfId="0" applyNumberFormat="1" applyFont="1" applyFill="1" applyBorder="1"/>
    <xf numFmtId="3" fontId="1" fillId="2" borderId="44" xfId="0" applyNumberFormat="1" applyFont="1" applyFill="1" applyBorder="1"/>
    <xf numFmtId="3" fontId="1" fillId="2" borderId="18" xfId="0" applyNumberFormat="1" applyFont="1" applyFill="1" applyBorder="1"/>
    <xf numFmtId="3" fontId="1" fillId="2" borderId="38" xfId="0" applyNumberFormat="1" applyFont="1" applyFill="1" applyBorder="1"/>
    <xf numFmtId="3" fontId="1" fillId="34" borderId="20" xfId="0" applyNumberFormat="1" applyFont="1" applyFill="1" applyBorder="1" applyAlignment="1">
      <alignment vertical="center"/>
    </xf>
    <xf numFmtId="3" fontId="1" fillId="34" borderId="41" xfId="0" applyNumberFormat="1" applyFont="1" applyFill="1" applyBorder="1" applyAlignment="1">
      <alignment vertical="center"/>
    </xf>
    <xf numFmtId="3" fontId="1" fillId="34" borderId="39" xfId="0" applyNumberFormat="1" applyFont="1" applyFill="1" applyBorder="1" applyAlignment="1">
      <alignment vertical="center"/>
    </xf>
    <xf numFmtId="0" fontId="0" fillId="0" borderId="46" xfId="0" applyBorder="1" applyAlignment="1">
      <alignment horizontal="right" wrapText="1"/>
    </xf>
    <xf numFmtId="3" fontId="0" fillId="0" borderId="46" xfId="0" applyNumberFormat="1" applyBorder="1" applyAlignment="1">
      <alignment horizontal="right" wrapText="1"/>
    </xf>
    <xf numFmtId="3" fontId="0" fillId="0" borderId="0" xfId="0" applyNumberFormat="1" applyBorder="1"/>
    <xf numFmtId="3" fontId="0" fillId="0" borderId="47" xfId="0" applyNumberFormat="1" applyBorder="1"/>
    <xf numFmtId="3" fontId="1" fillId="2" borderId="48" xfId="0" applyNumberFormat="1" applyFont="1" applyFill="1" applyBorder="1"/>
    <xf numFmtId="3" fontId="0" fillId="0" borderId="49" xfId="0" applyNumberFormat="1" applyBorder="1"/>
    <xf numFmtId="0" fontId="28" fillId="0" borderId="26" xfId="0" applyFont="1" applyBorder="1" applyAlignment="1">
      <alignment horizontal="center"/>
    </xf>
    <xf numFmtId="0" fontId="28" fillId="0" borderId="27" xfId="0" applyFont="1" applyBorder="1" applyAlignment="1">
      <alignment horizontal="center"/>
    </xf>
    <xf numFmtId="0" fontId="28" fillId="0" borderId="28" xfId="0" applyFont="1" applyBorder="1" applyAlignment="1">
      <alignment horizontal="center"/>
    </xf>
    <xf numFmtId="0" fontId="28" fillId="0" borderId="29" xfId="0" applyFont="1" applyBorder="1" applyAlignment="1">
      <alignment horizontal="center"/>
    </xf>
    <xf numFmtId="0" fontId="28" fillId="0" borderId="0" xfId="0" applyFont="1" applyBorder="1" applyAlignment="1">
      <alignment horizontal="center"/>
    </xf>
    <xf numFmtId="0" fontId="28" fillId="0" borderId="30" xfId="0" applyFont="1" applyBorder="1" applyAlignment="1">
      <alignment horizontal="center"/>
    </xf>
    <xf numFmtId="15" fontId="29" fillId="0" borderId="29" xfId="0" quotePrefix="1" applyNumberFormat="1" applyFont="1" applyBorder="1" applyAlignment="1">
      <alignment horizontal="center"/>
    </xf>
    <xf numFmtId="15" fontId="29" fillId="0" borderId="0" xfId="0" quotePrefix="1" applyNumberFormat="1" applyFont="1" applyBorder="1" applyAlignment="1">
      <alignment horizontal="center"/>
    </xf>
    <xf numFmtId="15" fontId="29" fillId="0" borderId="30" xfId="0" quotePrefix="1" applyNumberFormat="1" applyFont="1" applyBorder="1" applyAlignment="1">
      <alignment horizontal="center"/>
    </xf>
    <xf numFmtId="0" fontId="29" fillId="0" borderId="29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29" fillId="0" borderId="30" xfId="0" applyFont="1" applyBorder="1" applyAlignment="1">
      <alignment horizontal="center"/>
    </xf>
    <xf numFmtId="0" fontId="0" fillId="2" borderId="31" xfId="0" applyFont="1" applyFill="1" applyBorder="1" applyAlignment="1">
      <alignment horizontal="center"/>
    </xf>
    <xf numFmtId="0" fontId="0" fillId="2" borderId="23" xfId="0" applyFont="1" applyFill="1" applyBorder="1" applyAlignment="1">
      <alignment horizontal="center"/>
    </xf>
    <xf numFmtId="0" fontId="0" fillId="2" borderId="32" xfId="0" applyFont="1" applyFill="1" applyBorder="1" applyAlignment="1">
      <alignment horizontal="center"/>
    </xf>
    <xf numFmtId="3" fontId="1" fillId="34" borderId="50" xfId="0" applyNumberFormat="1" applyFont="1" applyFill="1" applyBorder="1" applyAlignment="1">
      <alignment vertical="center"/>
    </xf>
    <xf numFmtId="3" fontId="1" fillId="34" borderId="51" xfId="0" applyNumberFormat="1" applyFont="1" applyFill="1" applyBorder="1" applyAlignment="1">
      <alignment vertical="center"/>
    </xf>
    <xf numFmtId="3" fontId="1" fillId="2" borderId="52" xfId="0" applyNumberFormat="1" applyFont="1" applyFill="1" applyBorder="1"/>
    <xf numFmtId="3" fontId="1" fillId="2" borderId="23" xfId="0" applyNumberFormat="1" applyFont="1" applyFill="1" applyBorder="1"/>
    <xf numFmtId="3" fontId="0" fillId="0" borderId="53" xfId="0" applyNumberFormat="1" applyBorder="1"/>
    <xf numFmtId="3" fontId="0" fillId="0" borderId="54" xfId="0" applyNumberFormat="1" applyBorder="1"/>
  </cellXfs>
  <cellStyles count="5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4"/>
    <cellStyle name="Comma 2 2" xfId="51"/>
    <cellStyle name="Comma 2 3" xfId="53"/>
    <cellStyle name="Comma 3" xfId="45"/>
    <cellStyle name="Comma 3 2" xfId="56"/>
    <cellStyle name="Comma 4" xfId="55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3"/>
    <cellStyle name="Normal 4" xfId="47"/>
    <cellStyle name="Normal 5" xfId="48"/>
    <cellStyle name="Normal 6" xfId="50"/>
    <cellStyle name="Normal 7" xfId="52"/>
    <cellStyle name="Normal 8" xfId="54"/>
    <cellStyle name="Normal 9" xfId="57"/>
    <cellStyle name="Note" xfId="15" builtinId="10" customBuiltin="1"/>
    <cellStyle name="Output" xfId="10" builtinId="21" customBuiltin="1"/>
    <cellStyle name="Percent 2" xfId="46"/>
    <cellStyle name="Percent 3" xfId="49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38"/>
  <sheetViews>
    <sheetView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2" width="15.85546875" customWidth="1"/>
    <col min="3" max="10" width="15.7109375" customWidth="1"/>
  </cols>
  <sheetData>
    <row r="1" spans="1:10" ht="19.5" thickTop="1" x14ac:dyDescent="0.3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75" x14ac:dyDescent="0.3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75" x14ac:dyDescent="0.3">
      <c r="A3" s="48" t="s">
        <v>40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.5" thickBot="1" x14ac:dyDescent="0.3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.75" thickBot="1" x14ac:dyDescent="0.3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1" customFormat="1" ht="30.75" thickBot="1" x14ac:dyDescent="0.3">
      <c r="A6" s="14" t="s">
        <v>0</v>
      </c>
      <c r="B6" s="12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22" t="s">
        <v>35</v>
      </c>
      <c r="H6" s="28" t="s">
        <v>36</v>
      </c>
      <c r="I6" s="26" t="s">
        <v>39</v>
      </c>
      <c r="J6" s="15" t="s">
        <v>37</v>
      </c>
    </row>
    <row r="7" spans="1:10" ht="15.75" thickTop="1" x14ac:dyDescent="0.25">
      <c r="A7" s="16" t="s">
        <v>1</v>
      </c>
      <c r="B7" s="36">
        <v>0</v>
      </c>
      <c r="C7" s="36">
        <v>0</v>
      </c>
      <c r="D7" s="36">
        <v>0</v>
      </c>
      <c r="E7" s="36">
        <v>0</v>
      </c>
      <c r="F7" s="36">
        <v>1</v>
      </c>
      <c r="G7" s="36">
        <v>0</v>
      </c>
      <c r="H7" s="29">
        <v>1</v>
      </c>
      <c r="I7" s="4">
        <v>0</v>
      </c>
      <c r="J7" s="17">
        <v>1</v>
      </c>
    </row>
    <row r="8" spans="1:10" x14ac:dyDescent="0.25">
      <c r="A8" s="16" t="s">
        <v>2</v>
      </c>
      <c r="B8" s="36">
        <v>3</v>
      </c>
      <c r="C8" s="36">
        <v>1</v>
      </c>
      <c r="D8" s="36">
        <v>0</v>
      </c>
      <c r="E8" s="36">
        <v>1</v>
      </c>
      <c r="F8" s="36">
        <v>2</v>
      </c>
      <c r="G8" s="36">
        <v>0</v>
      </c>
      <c r="H8" s="29">
        <v>7</v>
      </c>
      <c r="I8" s="3">
        <v>0</v>
      </c>
      <c r="J8" s="17">
        <v>7</v>
      </c>
    </row>
    <row r="9" spans="1:10" x14ac:dyDescent="0.25">
      <c r="A9" s="16" t="s">
        <v>3</v>
      </c>
      <c r="B9" s="36">
        <v>62</v>
      </c>
      <c r="C9" s="36">
        <v>32</v>
      </c>
      <c r="D9" s="36">
        <v>16</v>
      </c>
      <c r="E9" s="36">
        <v>4</v>
      </c>
      <c r="F9" s="36">
        <v>40</v>
      </c>
      <c r="G9" s="36">
        <v>25</v>
      </c>
      <c r="H9" s="29">
        <v>179</v>
      </c>
      <c r="I9" s="3">
        <v>1</v>
      </c>
      <c r="J9" s="17">
        <v>180</v>
      </c>
    </row>
    <row r="10" spans="1:10" x14ac:dyDescent="0.25">
      <c r="A10" s="16" t="s">
        <v>4</v>
      </c>
      <c r="B10" s="36">
        <v>165</v>
      </c>
      <c r="C10" s="36">
        <v>78</v>
      </c>
      <c r="D10" s="36">
        <v>35</v>
      </c>
      <c r="E10" s="36">
        <v>8</v>
      </c>
      <c r="F10" s="36">
        <v>135</v>
      </c>
      <c r="G10" s="36">
        <v>57</v>
      </c>
      <c r="H10" s="29">
        <v>478</v>
      </c>
      <c r="I10" s="3">
        <v>0</v>
      </c>
      <c r="J10" s="17">
        <v>478</v>
      </c>
    </row>
    <row r="11" spans="1:10" x14ac:dyDescent="0.25">
      <c r="A11" s="16" t="s">
        <v>5</v>
      </c>
      <c r="B11" s="37">
        <v>1402</v>
      </c>
      <c r="C11" s="37">
        <v>1802</v>
      </c>
      <c r="D11" s="37">
        <v>1277</v>
      </c>
      <c r="E11" s="36">
        <v>294</v>
      </c>
      <c r="F11" s="37">
        <v>990</v>
      </c>
      <c r="G11" s="37">
        <v>1046</v>
      </c>
      <c r="H11" s="29">
        <v>6811</v>
      </c>
      <c r="I11" s="3">
        <v>29</v>
      </c>
      <c r="J11" s="17">
        <v>6840</v>
      </c>
    </row>
    <row r="12" spans="1:10" x14ac:dyDescent="0.25">
      <c r="A12" s="16" t="s">
        <v>6</v>
      </c>
      <c r="B12" s="37">
        <v>3550</v>
      </c>
      <c r="C12" s="37">
        <v>5110</v>
      </c>
      <c r="D12" s="37">
        <v>3243</v>
      </c>
      <c r="E12" s="36">
        <v>751</v>
      </c>
      <c r="F12" s="37">
        <v>3978</v>
      </c>
      <c r="G12" s="37">
        <v>3988</v>
      </c>
      <c r="H12" s="29">
        <v>20620</v>
      </c>
      <c r="I12" s="3">
        <v>147</v>
      </c>
      <c r="J12" s="17">
        <v>20767</v>
      </c>
    </row>
    <row r="13" spans="1:10" x14ac:dyDescent="0.25">
      <c r="A13" s="16" t="s">
        <v>7</v>
      </c>
      <c r="B13" s="37">
        <v>6573</v>
      </c>
      <c r="C13" s="37">
        <v>7400</v>
      </c>
      <c r="D13" s="37">
        <v>4768</v>
      </c>
      <c r="E13" s="37">
        <v>1231</v>
      </c>
      <c r="F13" s="37">
        <v>4309</v>
      </c>
      <c r="G13" s="37">
        <v>5121</v>
      </c>
      <c r="H13" s="29">
        <v>29402</v>
      </c>
      <c r="I13" s="3">
        <v>306</v>
      </c>
      <c r="J13" s="17">
        <v>29708</v>
      </c>
    </row>
    <row r="14" spans="1:10" x14ac:dyDescent="0.25">
      <c r="A14" s="16" t="s">
        <v>8</v>
      </c>
      <c r="B14" s="37">
        <v>10410</v>
      </c>
      <c r="C14" s="37">
        <v>10690</v>
      </c>
      <c r="D14" s="37">
        <v>3847</v>
      </c>
      <c r="E14" s="37">
        <v>1277</v>
      </c>
      <c r="F14" s="37">
        <v>3544</v>
      </c>
      <c r="G14" s="37">
        <v>2747</v>
      </c>
      <c r="H14" s="29">
        <v>32515</v>
      </c>
      <c r="I14" s="3">
        <v>373</v>
      </c>
      <c r="J14" s="17">
        <v>32888</v>
      </c>
    </row>
    <row r="15" spans="1:10" x14ac:dyDescent="0.25">
      <c r="A15" s="16" t="s">
        <v>9</v>
      </c>
      <c r="B15" s="37">
        <v>9143</v>
      </c>
      <c r="C15" s="37">
        <v>6199</v>
      </c>
      <c r="D15" s="36">
        <v>741</v>
      </c>
      <c r="E15" s="36">
        <v>275</v>
      </c>
      <c r="F15" s="37">
        <v>1236</v>
      </c>
      <c r="G15" s="36">
        <v>575</v>
      </c>
      <c r="H15" s="29">
        <v>18169</v>
      </c>
      <c r="I15" s="3">
        <v>59</v>
      </c>
      <c r="J15" s="17">
        <v>18228</v>
      </c>
    </row>
    <row r="16" spans="1:10" x14ac:dyDescent="0.25">
      <c r="A16" s="16" t="s">
        <v>10</v>
      </c>
      <c r="B16" s="37">
        <v>5638</v>
      </c>
      <c r="C16" s="37">
        <v>2631</v>
      </c>
      <c r="D16" s="36">
        <v>407</v>
      </c>
      <c r="E16" s="36">
        <v>267</v>
      </c>
      <c r="F16" s="37">
        <v>968</v>
      </c>
      <c r="G16" s="36">
        <v>321</v>
      </c>
      <c r="H16" s="29">
        <v>10232</v>
      </c>
      <c r="I16" s="3">
        <v>56</v>
      </c>
      <c r="J16" s="17">
        <v>10288</v>
      </c>
    </row>
    <row r="17" spans="1:10" x14ac:dyDescent="0.25">
      <c r="A17" s="16" t="s">
        <v>11</v>
      </c>
      <c r="B17" s="36">
        <v>387</v>
      </c>
      <c r="C17" s="36">
        <v>103</v>
      </c>
      <c r="D17" s="36">
        <v>2</v>
      </c>
      <c r="E17" s="36">
        <v>17</v>
      </c>
      <c r="F17" s="36">
        <v>0</v>
      </c>
      <c r="G17" s="36">
        <v>0</v>
      </c>
      <c r="H17" s="29">
        <v>509</v>
      </c>
      <c r="I17" s="3">
        <v>0</v>
      </c>
      <c r="J17" s="17">
        <v>509</v>
      </c>
    </row>
    <row r="18" spans="1:10" x14ac:dyDescent="0.25">
      <c r="A18" s="16" t="s">
        <v>12</v>
      </c>
      <c r="B18" s="37">
        <v>1399</v>
      </c>
      <c r="C18" s="36">
        <v>518</v>
      </c>
      <c r="D18" s="36">
        <v>16</v>
      </c>
      <c r="E18" s="36">
        <v>34</v>
      </c>
      <c r="F18" s="36">
        <v>0</v>
      </c>
      <c r="G18" s="36">
        <v>0</v>
      </c>
      <c r="H18" s="29">
        <v>1967</v>
      </c>
      <c r="I18" s="3">
        <v>30</v>
      </c>
      <c r="J18" s="17">
        <v>1997</v>
      </c>
    </row>
    <row r="19" spans="1:10" x14ac:dyDescent="0.25">
      <c r="A19" s="16" t="s">
        <v>13</v>
      </c>
      <c r="B19" s="37">
        <v>2147</v>
      </c>
      <c r="C19" s="36">
        <v>1009</v>
      </c>
      <c r="D19" s="36">
        <v>37</v>
      </c>
      <c r="E19" s="36">
        <v>83</v>
      </c>
      <c r="F19" s="36">
        <v>0</v>
      </c>
      <c r="G19" s="36">
        <v>0</v>
      </c>
      <c r="H19" s="29">
        <v>3276</v>
      </c>
      <c r="I19" s="3">
        <v>54</v>
      </c>
      <c r="J19" s="17">
        <v>3330</v>
      </c>
    </row>
    <row r="20" spans="1:10" x14ac:dyDescent="0.25">
      <c r="A20" s="16" t="s">
        <v>14</v>
      </c>
      <c r="B20" s="37">
        <v>3440</v>
      </c>
      <c r="C20" s="37">
        <v>1342</v>
      </c>
      <c r="D20" s="36">
        <v>29</v>
      </c>
      <c r="E20" s="36">
        <v>80</v>
      </c>
      <c r="F20" s="36">
        <v>0</v>
      </c>
      <c r="G20" s="36">
        <v>0</v>
      </c>
      <c r="H20" s="29">
        <v>4891</v>
      </c>
      <c r="I20" s="3">
        <v>42</v>
      </c>
      <c r="J20" s="17">
        <v>4933</v>
      </c>
    </row>
    <row r="21" spans="1:10" x14ac:dyDescent="0.25">
      <c r="A21" s="16" t="s">
        <v>15</v>
      </c>
      <c r="B21" s="37">
        <v>1229</v>
      </c>
      <c r="C21" s="36">
        <v>465</v>
      </c>
      <c r="D21" s="36">
        <v>0</v>
      </c>
      <c r="E21" s="36">
        <v>18</v>
      </c>
      <c r="F21" s="36">
        <v>0</v>
      </c>
      <c r="G21" s="36">
        <v>0</v>
      </c>
      <c r="H21" s="29">
        <v>1712</v>
      </c>
      <c r="I21" s="3">
        <v>0</v>
      </c>
      <c r="J21" s="17">
        <v>1712</v>
      </c>
    </row>
    <row r="22" spans="1:10" x14ac:dyDescent="0.25">
      <c r="A22" s="16" t="s">
        <v>42</v>
      </c>
      <c r="B22" s="36">
        <v>1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29">
        <v>1</v>
      </c>
      <c r="I22" s="3">
        <v>0</v>
      </c>
      <c r="J22" s="17">
        <v>1</v>
      </c>
    </row>
    <row r="23" spans="1:10" ht="15.75" thickBot="1" x14ac:dyDescent="0.3">
      <c r="A23" s="18"/>
      <c r="B23" s="6"/>
      <c r="C23" s="7"/>
      <c r="D23" s="7"/>
      <c r="E23" s="7"/>
      <c r="F23" s="7"/>
      <c r="G23" s="25"/>
      <c r="H23" s="30"/>
      <c r="I23" s="6" t="s">
        <v>38</v>
      </c>
      <c r="J23" s="19"/>
    </row>
    <row r="24" spans="1:10" ht="15.75" thickBot="1" x14ac:dyDescent="0.3">
      <c r="A24" s="20" t="s">
        <v>16</v>
      </c>
      <c r="B24" s="31">
        <f>SUM(B7:B22)</f>
        <v>45549</v>
      </c>
      <c r="C24" s="31">
        <f t="shared" ref="C24:J24" si="0">SUM(C7:C22)</f>
        <v>37380</v>
      </c>
      <c r="D24" s="31">
        <f t="shared" si="0"/>
        <v>14418</v>
      </c>
      <c r="E24" s="31">
        <f t="shared" si="0"/>
        <v>4340</v>
      </c>
      <c r="F24" s="31">
        <f t="shared" si="0"/>
        <v>15203</v>
      </c>
      <c r="G24" s="31">
        <f t="shared" si="0"/>
        <v>13880</v>
      </c>
      <c r="H24" s="31">
        <f t="shared" si="0"/>
        <v>130770</v>
      </c>
      <c r="I24" s="31">
        <f t="shared" si="0"/>
        <v>1097</v>
      </c>
      <c r="J24" s="32">
        <f t="shared" si="0"/>
        <v>131867</v>
      </c>
    </row>
    <row r="25" spans="1:10" x14ac:dyDescent="0.25">
      <c r="A25" s="16" t="s">
        <v>17</v>
      </c>
      <c r="B25" s="4">
        <v>2056</v>
      </c>
      <c r="C25" s="5">
        <v>1526</v>
      </c>
      <c r="D25" s="5">
        <v>361</v>
      </c>
      <c r="E25" s="5">
        <v>175</v>
      </c>
      <c r="F25" s="5">
        <v>1928</v>
      </c>
      <c r="G25" s="23">
        <v>971</v>
      </c>
      <c r="H25" s="29">
        <v>7017</v>
      </c>
      <c r="I25" s="4">
        <v>71</v>
      </c>
      <c r="J25" s="21">
        <v>7088</v>
      </c>
    </row>
    <row r="26" spans="1:10" x14ac:dyDescent="0.25">
      <c r="A26" s="16" t="s">
        <v>18</v>
      </c>
      <c r="B26" s="3">
        <v>7203</v>
      </c>
      <c r="C26" s="2">
        <v>5718</v>
      </c>
      <c r="D26" s="2">
        <v>900</v>
      </c>
      <c r="E26" s="2">
        <v>523</v>
      </c>
      <c r="F26" s="2">
        <v>4439</v>
      </c>
      <c r="G26" s="24">
        <v>2943</v>
      </c>
      <c r="H26" s="29">
        <v>21726</v>
      </c>
      <c r="I26" s="3">
        <v>117</v>
      </c>
      <c r="J26" s="21">
        <v>21843</v>
      </c>
    </row>
    <row r="27" spans="1:10" x14ac:dyDescent="0.25">
      <c r="A27" s="16" t="s">
        <v>19</v>
      </c>
      <c r="B27" s="3">
        <v>20133</v>
      </c>
      <c r="C27" s="2">
        <v>14557</v>
      </c>
      <c r="D27" s="2">
        <v>3690</v>
      </c>
      <c r="E27" s="2">
        <v>1068</v>
      </c>
      <c r="F27" s="2">
        <v>15086</v>
      </c>
      <c r="G27" s="24">
        <v>8399</v>
      </c>
      <c r="H27" s="29">
        <v>62933</v>
      </c>
      <c r="I27" s="3">
        <v>673</v>
      </c>
      <c r="J27" s="21">
        <v>63606</v>
      </c>
    </row>
    <row r="28" spans="1:10" x14ac:dyDescent="0.25">
      <c r="A28" s="16" t="s">
        <v>20</v>
      </c>
      <c r="B28" s="3">
        <v>37992</v>
      </c>
      <c r="C28" s="2">
        <v>19917</v>
      </c>
      <c r="D28" s="2">
        <v>10262</v>
      </c>
      <c r="E28" s="2">
        <v>2078</v>
      </c>
      <c r="F28" s="2">
        <v>18684</v>
      </c>
      <c r="G28" s="24">
        <v>12240</v>
      </c>
      <c r="H28" s="29">
        <v>101173</v>
      </c>
      <c r="I28" s="3">
        <v>1448</v>
      </c>
      <c r="J28" s="21">
        <v>102621</v>
      </c>
    </row>
    <row r="29" spans="1:10" x14ac:dyDescent="0.25">
      <c r="A29" s="16" t="s">
        <v>21</v>
      </c>
      <c r="B29" s="3">
        <v>62771</v>
      </c>
      <c r="C29" s="2">
        <v>33515</v>
      </c>
      <c r="D29" s="2">
        <v>13742</v>
      </c>
      <c r="E29" s="2">
        <v>4714</v>
      </c>
      <c r="F29" s="2">
        <v>20041</v>
      </c>
      <c r="G29" s="24">
        <v>12015</v>
      </c>
      <c r="H29" s="29">
        <v>146798</v>
      </c>
      <c r="I29" s="3">
        <v>1685</v>
      </c>
      <c r="J29" s="21">
        <v>148483</v>
      </c>
    </row>
    <row r="30" spans="1:10" x14ac:dyDescent="0.25">
      <c r="A30" s="16" t="s">
        <v>22</v>
      </c>
      <c r="B30" s="3">
        <v>98466</v>
      </c>
      <c r="C30" s="2">
        <v>54625</v>
      </c>
      <c r="D30" s="2">
        <v>8095</v>
      </c>
      <c r="E30" s="2">
        <v>6587</v>
      </c>
      <c r="F30" s="2">
        <v>16284</v>
      </c>
      <c r="G30" s="24">
        <v>13831</v>
      </c>
      <c r="H30" s="29">
        <v>197888</v>
      </c>
      <c r="I30" s="3">
        <v>1320</v>
      </c>
      <c r="J30" s="21">
        <v>199208</v>
      </c>
    </row>
    <row r="31" spans="1:10" x14ac:dyDescent="0.25">
      <c r="A31" s="16" t="s">
        <v>23</v>
      </c>
      <c r="B31" s="3">
        <v>36822</v>
      </c>
      <c r="C31" s="2">
        <v>16675</v>
      </c>
      <c r="D31" s="2">
        <v>4190</v>
      </c>
      <c r="E31" s="2">
        <v>14451</v>
      </c>
      <c r="F31" s="2">
        <v>12840</v>
      </c>
      <c r="G31" s="24">
        <v>3474</v>
      </c>
      <c r="H31" s="29">
        <v>88452</v>
      </c>
      <c r="I31" s="3">
        <v>85</v>
      </c>
      <c r="J31" s="21">
        <v>88537</v>
      </c>
    </row>
    <row r="32" spans="1:10" x14ac:dyDescent="0.25">
      <c r="A32" s="16" t="s">
        <v>24</v>
      </c>
      <c r="B32" s="3">
        <v>18752</v>
      </c>
      <c r="C32" s="2">
        <v>6854</v>
      </c>
      <c r="D32" s="2">
        <v>1412</v>
      </c>
      <c r="E32" s="2">
        <v>3123</v>
      </c>
      <c r="F32" s="2">
        <v>448</v>
      </c>
      <c r="G32" s="24">
        <v>718</v>
      </c>
      <c r="H32" s="29">
        <v>31307</v>
      </c>
      <c r="I32" s="3">
        <v>1</v>
      </c>
      <c r="J32" s="21">
        <v>31308</v>
      </c>
    </row>
    <row r="33" spans="1:10" x14ac:dyDescent="0.25">
      <c r="A33" s="16" t="s">
        <v>25</v>
      </c>
      <c r="B33" s="2">
        <v>11717</v>
      </c>
      <c r="C33" s="2">
        <v>7307</v>
      </c>
      <c r="D33" s="2">
        <v>962</v>
      </c>
      <c r="E33" s="2">
        <v>1646</v>
      </c>
      <c r="F33" s="2">
        <v>872</v>
      </c>
      <c r="G33" s="24">
        <v>974</v>
      </c>
      <c r="H33" s="29">
        <v>23478</v>
      </c>
      <c r="I33" s="3">
        <v>0</v>
      </c>
      <c r="J33" s="21">
        <v>23478</v>
      </c>
    </row>
    <row r="34" spans="1:10" x14ac:dyDescent="0.25">
      <c r="A34" s="16" t="s">
        <v>41</v>
      </c>
      <c r="B34" s="2">
        <v>0</v>
      </c>
      <c r="C34" s="2">
        <v>0</v>
      </c>
      <c r="D34" s="2">
        <v>0</v>
      </c>
      <c r="E34" s="2">
        <v>0</v>
      </c>
      <c r="F34" s="2">
        <v>1</v>
      </c>
      <c r="G34" s="41">
        <v>0</v>
      </c>
      <c r="H34" s="29">
        <v>1</v>
      </c>
      <c r="I34" s="3">
        <v>0</v>
      </c>
      <c r="J34" s="21">
        <v>1</v>
      </c>
    </row>
    <row r="35" spans="1:10" ht="15.75" thickBot="1" x14ac:dyDescent="0.3">
      <c r="A35" s="16"/>
      <c r="B35" s="8"/>
      <c r="C35" s="8"/>
      <c r="D35" s="8"/>
      <c r="E35" s="8"/>
      <c r="F35" s="8"/>
      <c r="G35" s="38"/>
      <c r="H35" s="40"/>
      <c r="I35" s="8"/>
      <c r="J35" s="39"/>
    </row>
    <row r="36" spans="1:10" ht="15.75" thickBot="1" x14ac:dyDescent="0.3">
      <c r="A36" s="20" t="s">
        <v>26</v>
      </c>
      <c r="B36" s="31">
        <f t="shared" ref="B36:J36" si="1">SUM(B25:B34)</f>
        <v>295912</v>
      </c>
      <c r="C36" s="31">
        <f t="shared" si="1"/>
        <v>160694</v>
      </c>
      <c r="D36" s="31">
        <f t="shared" si="1"/>
        <v>43614</v>
      </c>
      <c r="E36" s="31">
        <f t="shared" si="1"/>
        <v>34365</v>
      </c>
      <c r="F36" s="31">
        <f t="shared" si="1"/>
        <v>90623</v>
      </c>
      <c r="G36" s="31">
        <f t="shared" si="1"/>
        <v>55565</v>
      </c>
      <c r="H36" s="31">
        <f t="shared" si="1"/>
        <v>680773</v>
      </c>
      <c r="I36" s="31">
        <f t="shared" si="1"/>
        <v>5400</v>
      </c>
      <c r="J36" s="32">
        <f t="shared" si="1"/>
        <v>686173</v>
      </c>
    </row>
    <row r="37" spans="1:10" ht="16.5" thickTop="1" thickBot="1" x14ac:dyDescent="0.3">
      <c r="A37" s="9" t="s">
        <v>27</v>
      </c>
      <c r="B37" s="33">
        <f t="shared" ref="B37:J37" si="2">SUM(B24,B36)</f>
        <v>341461</v>
      </c>
      <c r="C37" s="33">
        <f t="shared" si="2"/>
        <v>198074</v>
      </c>
      <c r="D37" s="33">
        <f t="shared" si="2"/>
        <v>58032</v>
      </c>
      <c r="E37" s="33">
        <f t="shared" si="2"/>
        <v>38705</v>
      </c>
      <c r="F37" s="33">
        <f t="shared" si="2"/>
        <v>105826</v>
      </c>
      <c r="G37" s="34">
        <f t="shared" si="2"/>
        <v>69445</v>
      </c>
      <c r="H37" s="27">
        <f t="shared" si="2"/>
        <v>811543</v>
      </c>
      <c r="I37" s="33">
        <f t="shared" si="2"/>
        <v>6497</v>
      </c>
      <c r="J37" s="35">
        <f t="shared" si="2"/>
        <v>818040</v>
      </c>
    </row>
    <row r="38" spans="1:10" ht="15.75" thickTop="1" x14ac:dyDescent="0.25">
      <c r="B38" s="10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2" width="15.85546875" customWidth="1"/>
    <col min="3" max="10" width="15.7109375" customWidth="1"/>
  </cols>
  <sheetData>
    <row r="1" spans="1:10" ht="19.5" thickTop="1" x14ac:dyDescent="0.3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75" x14ac:dyDescent="0.3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75" x14ac:dyDescent="0.3">
      <c r="A3" s="48" t="s">
        <v>46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.5" thickBot="1" x14ac:dyDescent="0.3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.75" thickBot="1" x14ac:dyDescent="0.3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1" customFormat="1" ht="30.75" thickBot="1" x14ac:dyDescent="0.3">
      <c r="A6" s="14" t="s">
        <v>0</v>
      </c>
      <c r="B6" s="12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22" t="s">
        <v>35</v>
      </c>
      <c r="H6" s="28" t="s">
        <v>36</v>
      </c>
      <c r="I6" s="26" t="s">
        <v>39</v>
      </c>
      <c r="J6" s="15" t="s">
        <v>37</v>
      </c>
    </row>
    <row r="7" spans="1:10" ht="15.75" thickTop="1" x14ac:dyDescent="0.25">
      <c r="A7" s="16" t="s">
        <v>1</v>
      </c>
      <c r="B7" s="36">
        <v>0</v>
      </c>
      <c r="C7" s="36">
        <v>0</v>
      </c>
      <c r="D7" s="36">
        <v>0</v>
      </c>
      <c r="E7" s="36">
        <v>0</v>
      </c>
      <c r="F7" s="36">
        <v>1</v>
      </c>
      <c r="G7" s="36">
        <v>0</v>
      </c>
      <c r="H7" s="29">
        <v>1</v>
      </c>
      <c r="I7" s="4">
        <v>0</v>
      </c>
      <c r="J7" s="17">
        <v>1</v>
      </c>
    </row>
    <row r="8" spans="1:10" x14ac:dyDescent="0.25">
      <c r="A8" s="16" t="s">
        <v>2</v>
      </c>
      <c r="B8" s="36">
        <v>3</v>
      </c>
      <c r="C8" s="36">
        <v>1</v>
      </c>
      <c r="D8" s="36">
        <v>0</v>
      </c>
      <c r="E8" s="36">
        <v>1</v>
      </c>
      <c r="F8" s="36">
        <v>2</v>
      </c>
      <c r="G8" s="36">
        <v>0</v>
      </c>
      <c r="H8" s="29">
        <v>7</v>
      </c>
      <c r="I8" s="3">
        <v>0</v>
      </c>
      <c r="J8" s="17">
        <v>7</v>
      </c>
    </row>
    <row r="9" spans="1:10" x14ac:dyDescent="0.25">
      <c r="A9" s="16" t="s">
        <v>3</v>
      </c>
      <c r="B9" s="36">
        <v>60</v>
      </c>
      <c r="C9" s="36">
        <v>32</v>
      </c>
      <c r="D9" s="36">
        <v>13</v>
      </c>
      <c r="E9" s="36">
        <v>4</v>
      </c>
      <c r="F9" s="36">
        <v>40</v>
      </c>
      <c r="G9" s="36">
        <v>24</v>
      </c>
      <c r="H9" s="29">
        <v>173</v>
      </c>
      <c r="I9" s="3">
        <v>1</v>
      </c>
      <c r="J9" s="17">
        <v>174</v>
      </c>
    </row>
    <row r="10" spans="1:10" x14ac:dyDescent="0.25">
      <c r="A10" s="16" t="s">
        <v>4</v>
      </c>
      <c r="B10" s="36">
        <v>167</v>
      </c>
      <c r="C10" s="36">
        <v>77</v>
      </c>
      <c r="D10" s="36">
        <v>32</v>
      </c>
      <c r="E10" s="36">
        <v>8</v>
      </c>
      <c r="F10" s="36">
        <v>136</v>
      </c>
      <c r="G10" s="36">
        <v>56</v>
      </c>
      <c r="H10" s="29">
        <v>476</v>
      </c>
      <c r="I10" s="3">
        <v>0</v>
      </c>
      <c r="J10" s="17">
        <v>476</v>
      </c>
    </row>
    <row r="11" spans="1:10" x14ac:dyDescent="0.25">
      <c r="A11" s="16" t="s">
        <v>5</v>
      </c>
      <c r="B11" s="37">
        <v>1399</v>
      </c>
      <c r="C11" s="37">
        <v>1818</v>
      </c>
      <c r="D11" s="37">
        <v>1237</v>
      </c>
      <c r="E11" s="36">
        <v>294</v>
      </c>
      <c r="F11" s="37">
        <v>985</v>
      </c>
      <c r="G11" s="37">
        <v>1041</v>
      </c>
      <c r="H11" s="29">
        <v>6774</v>
      </c>
      <c r="I11" s="3">
        <v>31</v>
      </c>
      <c r="J11" s="17">
        <v>6805</v>
      </c>
    </row>
    <row r="12" spans="1:10" x14ac:dyDescent="0.25">
      <c r="A12" s="16" t="s">
        <v>6</v>
      </c>
      <c r="B12" s="37">
        <v>3555</v>
      </c>
      <c r="C12" s="37">
        <v>5113</v>
      </c>
      <c r="D12" s="37">
        <v>3180</v>
      </c>
      <c r="E12" s="36">
        <v>754</v>
      </c>
      <c r="F12" s="37">
        <v>3979</v>
      </c>
      <c r="G12" s="37">
        <v>3944</v>
      </c>
      <c r="H12" s="29">
        <v>20525</v>
      </c>
      <c r="I12" s="3">
        <v>145</v>
      </c>
      <c r="J12" s="17">
        <v>20670</v>
      </c>
    </row>
    <row r="13" spans="1:10" x14ac:dyDescent="0.25">
      <c r="A13" s="16" t="s">
        <v>7</v>
      </c>
      <c r="B13" s="37">
        <v>6588</v>
      </c>
      <c r="C13" s="37">
        <v>7419</v>
      </c>
      <c r="D13" s="37">
        <v>4790</v>
      </c>
      <c r="E13" s="37">
        <v>1253</v>
      </c>
      <c r="F13" s="37">
        <v>4314</v>
      </c>
      <c r="G13" s="37">
        <v>5046</v>
      </c>
      <c r="H13" s="29">
        <v>29410</v>
      </c>
      <c r="I13" s="3">
        <v>307</v>
      </c>
      <c r="J13" s="17">
        <v>29717</v>
      </c>
    </row>
    <row r="14" spans="1:10" x14ac:dyDescent="0.25">
      <c r="A14" s="16" t="s">
        <v>8</v>
      </c>
      <c r="B14" s="37">
        <v>10455</v>
      </c>
      <c r="C14" s="37">
        <v>11442</v>
      </c>
      <c r="D14" s="37">
        <v>3929</v>
      </c>
      <c r="E14" s="37">
        <v>1267</v>
      </c>
      <c r="F14" s="37">
        <v>3514</v>
      </c>
      <c r="G14" s="37">
        <v>2687</v>
      </c>
      <c r="H14" s="29">
        <v>33294</v>
      </c>
      <c r="I14" s="3">
        <v>369</v>
      </c>
      <c r="J14" s="17">
        <v>33663</v>
      </c>
    </row>
    <row r="15" spans="1:10" x14ac:dyDescent="0.25">
      <c r="A15" s="16" t="s">
        <v>9</v>
      </c>
      <c r="B15" s="37">
        <v>8947</v>
      </c>
      <c r="C15" s="37">
        <v>5513</v>
      </c>
      <c r="D15" s="36">
        <v>706</v>
      </c>
      <c r="E15" s="36">
        <v>318</v>
      </c>
      <c r="F15" s="37">
        <v>1234</v>
      </c>
      <c r="G15" s="36">
        <v>596</v>
      </c>
      <c r="H15" s="29">
        <v>17314</v>
      </c>
      <c r="I15" s="3">
        <v>59</v>
      </c>
      <c r="J15" s="17">
        <v>17373</v>
      </c>
    </row>
    <row r="16" spans="1:10" x14ac:dyDescent="0.25">
      <c r="A16" s="16" t="s">
        <v>10</v>
      </c>
      <c r="B16" s="37">
        <v>5702</v>
      </c>
      <c r="C16" s="37">
        <v>2609</v>
      </c>
      <c r="D16" s="36">
        <v>384</v>
      </c>
      <c r="E16" s="36">
        <v>271</v>
      </c>
      <c r="F16" s="37">
        <v>1031</v>
      </c>
      <c r="G16" s="36">
        <v>341</v>
      </c>
      <c r="H16" s="29">
        <v>10338</v>
      </c>
      <c r="I16" s="3">
        <v>63</v>
      </c>
      <c r="J16" s="17">
        <v>10401</v>
      </c>
    </row>
    <row r="17" spans="1:10" x14ac:dyDescent="0.25">
      <c r="A17" s="16" t="s">
        <v>11</v>
      </c>
      <c r="B17" s="36">
        <v>382</v>
      </c>
      <c r="C17" s="36">
        <v>105</v>
      </c>
      <c r="D17" s="36">
        <v>3</v>
      </c>
      <c r="E17" s="36">
        <v>17</v>
      </c>
      <c r="F17" s="36">
        <v>0</v>
      </c>
      <c r="G17" s="36">
        <v>0</v>
      </c>
      <c r="H17" s="29">
        <v>507</v>
      </c>
      <c r="I17" s="3">
        <v>0</v>
      </c>
      <c r="J17" s="17">
        <v>507</v>
      </c>
    </row>
    <row r="18" spans="1:10" x14ac:dyDescent="0.25">
      <c r="A18" s="16" t="s">
        <v>12</v>
      </c>
      <c r="B18" s="37">
        <v>1388</v>
      </c>
      <c r="C18" s="36">
        <v>528</v>
      </c>
      <c r="D18" s="36">
        <v>20</v>
      </c>
      <c r="E18" s="36">
        <v>34</v>
      </c>
      <c r="F18" s="36">
        <v>0</v>
      </c>
      <c r="G18" s="36">
        <v>0</v>
      </c>
      <c r="H18" s="29">
        <v>1970</v>
      </c>
      <c r="I18" s="3">
        <v>27</v>
      </c>
      <c r="J18" s="17">
        <v>1997</v>
      </c>
    </row>
    <row r="19" spans="1:10" x14ac:dyDescent="0.25">
      <c r="A19" s="16" t="s">
        <v>13</v>
      </c>
      <c r="B19" s="37">
        <v>2145</v>
      </c>
      <c r="C19" s="36">
        <v>1038</v>
      </c>
      <c r="D19" s="36">
        <v>39</v>
      </c>
      <c r="E19" s="36">
        <v>82</v>
      </c>
      <c r="F19" s="36">
        <v>0</v>
      </c>
      <c r="G19" s="36">
        <v>0</v>
      </c>
      <c r="H19" s="29">
        <v>3304</v>
      </c>
      <c r="I19" s="3">
        <v>54</v>
      </c>
      <c r="J19" s="17">
        <v>3358</v>
      </c>
    </row>
    <row r="20" spans="1:10" x14ac:dyDescent="0.25">
      <c r="A20" s="16" t="s">
        <v>14</v>
      </c>
      <c r="B20" s="37">
        <v>3442</v>
      </c>
      <c r="C20" s="37">
        <v>1311</v>
      </c>
      <c r="D20" s="36">
        <v>27</v>
      </c>
      <c r="E20" s="36">
        <v>81</v>
      </c>
      <c r="F20" s="36">
        <v>0</v>
      </c>
      <c r="G20" s="36">
        <v>0</v>
      </c>
      <c r="H20" s="29">
        <v>4861</v>
      </c>
      <c r="I20" s="3">
        <v>43</v>
      </c>
      <c r="J20" s="17">
        <v>4904</v>
      </c>
    </row>
    <row r="21" spans="1:10" x14ac:dyDescent="0.25">
      <c r="A21" s="16" t="s">
        <v>15</v>
      </c>
      <c r="B21" s="37">
        <v>1250</v>
      </c>
      <c r="C21" s="36">
        <v>452</v>
      </c>
      <c r="D21" s="36">
        <v>0</v>
      </c>
      <c r="E21" s="36">
        <v>18</v>
      </c>
      <c r="F21" s="36">
        <v>0</v>
      </c>
      <c r="G21" s="36">
        <v>0</v>
      </c>
      <c r="H21" s="29">
        <v>1720</v>
      </c>
      <c r="I21" s="3">
        <v>0</v>
      </c>
      <c r="J21" s="17">
        <v>1720</v>
      </c>
    </row>
    <row r="22" spans="1:10" x14ac:dyDescent="0.25">
      <c r="A22" s="16" t="s">
        <v>44</v>
      </c>
      <c r="B22" s="36">
        <v>1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29">
        <v>1</v>
      </c>
      <c r="I22" s="3">
        <v>0</v>
      </c>
      <c r="J22" s="17">
        <v>1</v>
      </c>
    </row>
    <row r="23" spans="1:10" ht="15.75" thickBot="1" x14ac:dyDescent="0.3">
      <c r="A23" s="18"/>
      <c r="B23" s="6"/>
      <c r="C23" s="7"/>
      <c r="D23" s="7"/>
      <c r="E23" s="7"/>
      <c r="F23" s="7"/>
      <c r="G23" s="25"/>
      <c r="H23" s="30"/>
      <c r="I23" s="6" t="s">
        <v>38</v>
      </c>
      <c r="J23" s="19"/>
    </row>
    <row r="24" spans="1:10" ht="15.75" thickBot="1" x14ac:dyDescent="0.3">
      <c r="A24" s="20" t="s">
        <v>16</v>
      </c>
      <c r="B24" s="31">
        <f>SUM(B7:B22)</f>
        <v>45484</v>
      </c>
      <c r="C24" s="31">
        <f>SUM(C7:C22)</f>
        <v>37458</v>
      </c>
      <c r="D24" s="31">
        <f>SUM(D7:D22)</f>
        <v>14360</v>
      </c>
      <c r="E24" s="31">
        <f>SUM(E7:E22)</f>
        <v>4402</v>
      </c>
      <c r="F24" s="31">
        <f>SUM(F7:F22)</f>
        <v>15236</v>
      </c>
      <c r="G24" s="60">
        <f>SUM(G7:G22)</f>
        <v>13735</v>
      </c>
      <c r="H24" s="59">
        <f>SUM(H7:H22)</f>
        <v>130675</v>
      </c>
      <c r="I24" s="31">
        <f>SUM(I7:I22)</f>
        <v>1099</v>
      </c>
      <c r="J24" s="32">
        <f>SUM(J7:J22)</f>
        <v>131774</v>
      </c>
    </row>
    <row r="25" spans="1:10" x14ac:dyDescent="0.25">
      <c r="A25" s="16" t="s">
        <v>17</v>
      </c>
      <c r="B25" s="4">
        <v>2058</v>
      </c>
      <c r="C25" s="5">
        <v>1528</v>
      </c>
      <c r="D25" s="5">
        <v>360</v>
      </c>
      <c r="E25" s="5">
        <v>174</v>
      </c>
      <c r="F25" s="5">
        <v>1945</v>
      </c>
      <c r="G25" s="23">
        <v>951</v>
      </c>
      <c r="H25" s="29">
        <v>7016</v>
      </c>
      <c r="I25" s="4">
        <v>71</v>
      </c>
      <c r="J25" s="21">
        <v>7087</v>
      </c>
    </row>
    <row r="26" spans="1:10" x14ac:dyDescent="0.25">
      <c r="A26" s="16" t="s">
        <v>18</v>
      </c>
      <c r="B26" s="3">
        <v>7210</v>
      </c>
      <c r="C26" s="2">
        <v>5663</v>
      </c>
      <c r="D26" s="2">
        <v>902</v>
      </c>
      <c r="E26" s="2">
        <v>522</v>
      </c>
      <c r="F26" s="2">
        <v>4455</v>
      </c>
      <c r="G26" s="24">
        <v>2925</v>
      </c>
      <c r="H26" s="29">
        <v>21677</v>
      </c>
      <c r="I26" s="3">
        <v>116</v>
      </c>
      <c r="J26" s="21">
        <v>21793</v>
      </c>
    </row>
    <row r="27" spans="1:10" x14ac:dyDescent="0.25">
      <c r="A27" s="16" t="s">
        <v>19</v>
      </c>
      <c r="B27" s="3">
        <v>19982</v>
      </c>
      <c r="C27" s="2">
        <v>14515</v>
      </c>
      <c r="D27" s="2">
        <v>3715</v>
      </c>
      <c r="E27" s="2">
        <v>1067</v>
      </c>
      <c r="F27" s="2">
        <v>15182</v>
      </c>
      <c r="G27" s="24">
        <v>8328</v>
      </c>
      <c r="H27" s="29">
        <v>62789</v>
      </c>
      <c r="I27" s="3">
        <v>669</v>
      </c>
      <c r="J27" s="21">
        <v>63458</v>
      </c>
    </row>
    <row r="28" spans="1:10" x14ac:dyDescent="0.25">
      <c r="A28" s="16" t="s">
        <v>20</v>
      </c>
      <c r="B28" s="3">
        <v>37774</v>
      </c>
      <c r="C28" s="2">
        <v>20026</v>
      </c>
      <c r="D28" s="2">
        <v>10247</v>
      </c>
      <c r="E28" s="2">
        <v>2067</v>
      </c>
      <c r="F28" s="2">
        <v>18743</v>
      </c>
      <c r="G28" s="24">
        <v>12063</v>
      </c>
      <c r="H28" s="29">
        <v>100920</v>
      </c>
      <c r="I28" s="3">
        <v>1448</v>
      </c>
      <c r="J28" s="21">
        <v>102368</v>
      </c>
    </row>
    <row r="29" spans="1:10" x14ac:dyDescent="0.25">
      <c r="A29" s="16" t="s">
        <v>21</v>
      </c>
      <c r="B29" s="3">
        <v>62858</v>
      </c>
      <c r="C29" s="2">
        <v>33190</v>
      </c>
      <c r="D29" s="2">
        <v>13818</v>
      </c>
      <c r="E29" s="2">
        <v>4612</v>
      </c>
      <c r="F29" s="2">
        <v>20135</v>
      </c>
      <c r="G29" s="24">
        <v>11864</v>
      </c>
      <c r="H29" s="29">
        <v>146477</v>
      </c>
      <c r="I29" s="3">
        <v>1678</v>
      </c>
      <c r="J29" s="21">
        <v>148155</v>
      </c>
    </row>
    <row r="30" spans="1:10" x14ac:dyDescent="0.25">
      <c r="A30" s="16" t="s">
        <v>22</v>
      </c>
      <c r="B30" s="3">
        <v>99189</v>
      </c>
      <c r="C30" s="2">
        <v>54962</v>
      </c>
      <c r="D30" s="2">
        <v>8180</v>
      </c>
      <c r="E30" s="2">
        <v>6519</v>
      </c>
      <c r="F30" s="2">
        <v>16199</v>
      </c>
      <c r="G30" s="24">
        <v>13430</v>
      </c>
      <c r="H30" s="29">
        <v>198479</v>
      </c>
      <c r="I30" s="3">
        <v>1304</v>
      </c>
      <c r="J30" s="21">
        <v>199783</v>
      </c>
    </row>
    <row r="31" spans="1:10" x14ac:dyDescent="0.25">
      <c r="A31" s="16" t="s">
        <v>23</v>
      </c>
      <c r="B31" s="3">
        <v>36565</v>
      </c>
      <c r="C31" s="2">
        <v>16454</v>
      </c>
      <c r="D31" s="2">
        <v>4222</v>
      </c>
      <c r="E31" s="2">
        <v>14510</v>
      </c>
      <c r="F31" s="2">
        <v>12737</v>
      </c>
      <c r="G31" s="24">
        <v>3422</v>
      </c>
      <c r="H31" s="29">
        <v>87910</v>
      </c>
      <c r="I31" s="3">
        <v>96</v>
      </c>
      <c r="J31" s="21">
        <v>88006</v>
      </c>
    </row>
    <row r="32" spans="1:10" x14ac:dyDescent="0.25">
      <c r="A32" s="16" t="s">
        <v>24</v>
      </c>
      <c r="B32" s="3">
        <v>18288</v>
      </c>
      <c r="C32" s="2">
        <v>6838</v>
      </c>
      <c r="D32" s="2">
        <v>1394</v>
      </c>
      <c r="E32" s="2">
        <v>3169</v>
      </c>
      <c r="F32" s="2">
        <v>461</v>
      </c>
      <c r="G32" s="24">
        <v>697</v>
      </c>
      <c r="H32" s="29">
        <v>30847</v>
      </c>
      <c r="I32" s="3">
        <v>1</v>
      </c>
      <c r="J32" s="21">
        <v>30848</v>
      </c>
    </row>
    <row r="33" spans="1:10" x14ac:dyDescent="0.25">
      <c r="A33" s="16" t="s">
        <v>25</v>
      </c>
      <c r="B33" s="2">
        <v>12142</v>
      </c>
      <c r="C33" s="2">
        <v>7299</v>
      </c>
      <c r="D33" s="2">
        <v>1019</v>
      </c>
      <c r="E33" s="2">
        <v>1717</v>
      </c>
      <c r="F33" s="2">
        <v>889</v>
      </c>
      <c r="G33" s="24">
        <v>965</v>
      </c>
      <c r="H33" s="29">
        <v>24031</v>
      </c>
      <c r="I33" s="3">
        <v>0</v>
      </c>
      <c r="J33" s="21">
        <v>24031</v>
      </c>
    </row>
    <row r="34" spans="1:10" x14ac:dyDescent="0.25">
      <c r="A34" s="16" t="s">
        <v>41</v>
      </c>
      <c r="B34" s="36">
        <v>0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29">
        <v>0</v>
      </c>
      <c r="I34" s="3">
        <v>0</v>
      </c>
      <c r="J34" s="17">
        <v>0</v>
      </c>
    </row>
    <row r="35" spans="1:10" ht="15.75" thickBot="1" x14ac:dyDescent="0.3">
      <c r="A35" s="16"/>
      <c r="B35" s="8"/>
      <c r="C35" s="62"/>
      <c r="D35" s="62"/>
      <c r="E35" s="62"/>
      <c r="F35" s="62"/>
      <c r="G35" s="61"/>
      <c r="H35" s="29"/>
      <c r="I35" s="3"/>
      <c r="J35" s="21"/>
    </row>
    <row r="36" spans="1:10" ht="15.75" thickBot="1" x14ac:dyDescent="0.3">
      <c r="A36" s="20" t="s">
        <v>26</v>
      </c>
      <c r="B36" s="31">
        <f>SUM(B25:B34)</f>
        <v>296066</v>
      </c>
      <c r="C36" s="31">
        <f>SUM(C25:C34)</f>
        <v>160475</v>
      </c>
      <c r="D36" s="31">
        <f>SUM(D25:D34)</f>
        <v>43857</v>
      </c>
      <c r="E36" s="31">
        <f>SUM(E25:E34)</f>
        <v>34357</v>
      </c>
      <c r="F36" s="31">
        <f>SUM(F25:F34)</f>
        <v>90746</v>
      </c>
      <c r="G36" s="60">
        <f>SUM(G25:G34)</f>
        <v>54645</v>
      </c>
      <c r="H36" s="59">
        <f>SUM(H25:H34)</f>
        <v>680146</v>
      </c>
      <c r="I36" s="31">
        <f>SUM(I25:I34)</f>
        <v>5383</v>
      </c>
      <c r="J36" s="32">
        <f>SUM(J25:J34)</f>
        <v>685529</v>
      </c>
    </row>
    <row r="37" spans="1:10" ht="16.5" thickTop="1" thickBot="1" x14ac:dyDescent="0.3">
      <c r="A37" s="9" t="s">
        <v>27</v>
      </c>
      <c r="B37" s="33">
        <f>SUM(B24,B36)</f>
        <v>341550</v>
      </c>
      <c r="C37" s="33">
        <f>SUM(C24,C36)</f>
        <v>197933</v>
      </c>
      <c r="D37" s="33">
        <f>SUM(D24,D36)</f>
        <v>58217</v>
      </c>
      <c r="E37" s="33">
        <f>SUM(E24,E36)</f>
        <v>38759</v>
      </c>
      <c r="F37" s="33">
        <f>SUM(F24,F36)</f>
        <v>105982</v>
      </c>
      <c r="G37" s="34">
        <f>SUM(G24,G36)</f>
        <v>68380</v>
      </c>
      <c r="H37" s="58">
        <f>SUM(H24,H36)</f>
        <v>810821</v>
      </c>
      <c r="I37" s="33">
        <f>SUM(I24,I36)</f>
        <v>6482</v>
      </c>
      <c r="J37" s="57">
        <f>SUM(J24,J36)</f>
        <v>817303</v>
      </c>
    </row>
    <row r="38" spans="1:10" ht="15.75" thickTop="1" x14ac:dyDescent="0.25">
      <c r="B38" s="10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workbookViewId="0">
      <selection activeCell="A4" sqref="A4:J4"/>
    </sheetView>
  </sheetViews>
  <sheetFormatPr defaultRowHeight="15" x14ac:dyDescent="0.25"/>
  <cols>
    <col min="1" max="1" width="40.85546875" style="1" bestFit="1" customWidth="1"/>
    <col min="2" max="2" width="15.85546875" customWidth="1"/>
    <col min="3" max="10" width="15.7109375" customWidth="1"/>
  </cols>
  <sheetData>
    <row r="1" spans="1:10" ht="19.5" thickTop="1" x14ac:dyDescent="0.3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75" x14ac:dyDescent="0.3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75" x14ac:dyDescent="0.3">
      <c r="A3" s="48" t="s">
        <v>52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.5" thickBot="1" x14ac:dyDescent="0.3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.75" thickBot="1" x14ac:dyDescent="0.3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1" customFormat="1" ht="30.75" thickBot="1" x14ac:dyDescent="0.3">
      <c r="A6" s="14" t="s">
        <v>0</v>
      </c>
      <c r="B6" s="12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22" t="s">
        <v>35</v>
      </c>
      <c r="H6" s="28" t="s">
        <v>36</v>
      </c>
      <c r="I6" s="26" t="s">
        <v>39</v>
      </c>
      <c r="J6" s="15" t="s">
        <v>37</v>
      </c>
    </row>
    <row r="7" spans="1:10" ht="15.75" thickTop="1" x14ac:dyDescent="0.25">
      <c r="A7" s="16" t="s">
        <v>1</v>
      </c>
      <c r="B7" s="36">
        <v>0</v>
      </c>
      <c r="C7" s="36">
        <v>0</v>
      </c>
      <c r="D7" s="36">
        <v>0</v>
      </c>
      <c r="E7" s="36">
        <v>0</v>
      </c>
      <c r="F7" s="36">
        <v>1</v>
      </c>
      <c r="G7" s="36">
        <v>0</v>
      </c>
      <c r="H7" s="29">
        <v>1</v>
      </c>
      <c r="I7" s="4">
        <v>0</v>
      </c>
      <c r="J7" s="17">
        <v>1</v>
      </c>
    </row>
    <row r="8" spans="1:10" x14ac:dyDescent="0.25">
      <c r="A8" s="16" t="s">
        <v>2</v>
      </c>
      <c r="B8" s="36">
        <v>3</v>
      </c>
      <c r="C8" s="36">
        <v>0</v>
      </c>
      <c r="D8" s="36">
        <v>0</v>
      </c>
      <c r="E8" s="36">
        <v>1</v>
      </c>
      <c r="F8" s="36">
        <v>2</v>
      </c>
      <c r="G8" s="36">
        <v>0</v>
      </c>
      <c r="H8" s="29">
        <v>6</v>
      </c>
      <c r="I8" s="3">
        <v>0</v>
      </c>
      <c r="J8" s="17">
        <v>6</v>
      </c>
    </row>
    <row r="9" spans="1:10" x14ac:dyDescent="0.25">
      <c r="A9" s="16" t="s">
        <v>3</v>
      </c>
      <c r="B9" s="36">
        <v>61</v>
      </c>
      <c r="C9" s="36">
        <v>32</v>
      </c>
      <c r="D9" s="36">
        <v>13</v>
      </c>
      <c r="E9" s="36">
        <v>4</v>
      </c>
      <c r="F9" s="36">
        <v>43</v>
      </c>
      <c r="G9" s="36">
        <v>27</v>
      </c>
      <c r="H9" s="29">
        <v>180</v>
      </c>
      <c r="I9" s="3">
        <v>1</v>
      </c>
      <c r="J9" s="17">
        <v>181</v>
      </c>
    </row>
    <row r="10" spans="1:10" x14ac:dyDescent="0.25">
      <c r="A10" s="16" t="s">
        <v>4</v>
      </c>
      <c r="B10" s="36">
        <v>169</v>
      </c>
      <c r="C10" s="36">
        <v>78</v>
      </c>
      <c r="D10" s="36">
        <v>32</v>
      </c>
      <c r="E10" s="36">
        <v>8</v>
      </c>
      <c r="F10" s="36">
        <v>134</v>
      </c>
      <c r="G10" s="36">
        <v>57</v>
      </c>
      <c r="H10" s="29">
        <v>478</v>
      </c>
      <c r="I10" s="3">
        <v>0</v>
      </c>
      <c r="J10" s="17">
        <v>478</v>
      </c>
    </row>
    <row r="11" spans="1:10" x14ac:dyDescent="0.25">
      <c r="A11" s="16" t="s">
        <v>5</v>
      </c>
      <c r="B11" s="37">
        <v>1416</v>
      </c>
      <c r="C11" s="37">
        <v>1854</v>
      </c>
      <c r="D11" s="37">
        <v>1194</v>
      </c>
      <c r="E11" s="36">
        <v>298</v>
      </c>
      <c r="F11" s="37">
        <v>1013</v>
      </c>
      <c r="G11" s="37">
        <v>1028</v>
      </c>
      <c r="H11" s="29">
        <v>6803</v>
      </c>
      <c r="I11" s="3">
        <v>31</v>
      </c>
      <c r="J11" s="17">
        <v>6834</v>
      </c>
    </row>
    <row r="12" spans="1:10" x14ac:dyDescent="0.25">
      <c r="A12" s="16" t="s">
        <v>6</v>
      </c>
      <c r="B12" s="37">
        <v>3560</v>
      </c>
      <c r="C12" s="37">
        <v>5119</v>
      </c>
      <c r="D12" s="37">
        <v>3132</v>
      </c>
      <c r="E12" s="36">
        <v>752</v>
      </c>
      <c r="F12" s="37">
        <v>3932</v>
      </c>
      <c r="G12" s="37">
        <v>3927</v>
      </c>
      <c r="H12" s="29">
        <v>20422</v>
      </c>
      <c r="I12" s="3">
        <v>145</v>
      </c>
      <c r="J12" s="17">
        <v>20567</v>
      </c>
    </row>
    <row r="13" spans="1:10" x14ac:dyDescent="0.25">
      <c r="A13" s="16" t="s">
        <v>7</v>
      </c>
      <c r="B13" s="37">
        <v>6626</v>
      </c>
      <c r="C13" s="37">
        <v>7559</v>
      </c>
      <c r="D13" s="37">
        <v>4794</v>
      </c>
      <c r="E13" s="37">
        <v>1265</v>
      </c>
      <c r="F13" s="37">
        <v>4319</v>
      </c>
      <c r="G13" s="37">
        <v>5054</v>
      </c>
      <c r="H13" s="29">
        <v>29617</v>
      </c>
      <c r="I13" s="3">
        <v>307</v>
      </c>
      <c r="J13" s="17">
        <v>29924</v>
      </c>
    </row>
    <row r="14" spans="1:10" x14ac:dyDescent="0.25">
      <c r="A14" s="16" t="s">
        <v>8</v>
      </c>
      <c r="B14" s="37">
        <v>10645</v>
      </c>
      <c r="C14" s="37">
        <v>11612</v>
      </c>
      <c r="D14" s="37">
        <v>3910</v>
      </c>
      <c r="E14" s="37">
        <v>1256</v>
      </c>
      <c r="F14" s="37">
        <v>3528</v>
      </c>
      <c r="G14" s="37">
        <v>2688</v>
      </c>
      <c r="H14" s="29">
        <v>33639</v>
      </c>
      <c r="I14" s="3">
        <v>376</v>
      </c>
      <c r="J14" s="17">
        <v>34015</v>
      </c>
    </row>
    <row r="15" spans="1:10" x14ac:dyDescent="0.25">
      <c r="A15" s="16" t="s">
        <v>9</v>
      </c>
      <c r="B15" s="37">
        <v>8907</v>
      </c>
      <c r="C15" s="37">
        <v>5646</v>
      </c>
      <c r="D15" s="36">
        <v>672</v>
      </c>
      <c r="E15" s="36">
        <v>309</v>
      </c>
      <c r="F15" s="37">
        <v>1246</v>
      </c>
      <c r="G15" s="36">
        <v>608</v>
      </c>
      <c r="H15" s="29">
        <v>17388</v>
      </c>
      <c r="I15" s="3">
        <v>58</v>
      </c>
      <c r="J15" s="17">
        <v>17446</v>
      </c>
    </row>
    <row r="16" spans="1:10" x14ac:dyDescent="0.25">
      <c r="A16" s="16" t="s">
        <v>10</v>
      </c>
      <c r="B16" s="37">
        <v>5466</v>
      </c>
      <c r="C16" s="37">
        <v>2400</v>
      </c>
      <c r="D16" s="36">
        <v>386</v>
      </c>
      <c r="E16" s="36">
        <v>277</v>
      </c>
      <c r="F16" s="37">
        <v>982</v>
      </c>
      <c r="G16" s="36">
        <v>319</v>
      </c>
      <c r="H16" s="29">
        <v>9830</v>
      </c>
      <c r="I16" s="3">
        <v>58</v>
      </c>
      <c r="J16" s="17">
        <v>9888</v>
      </c>
    </row>
    <row r="17" spans="1:10" x14ac:dyDescent="0.25">
      <c r="A17" s="16" t="s">
        <v>11</v>
      </c>
      <c r="B17" s="36">
        <v>388</v>
      </c>
      <c r="C17" s="36">
        <v>111</v>
      </c>
      <c r="D17" s="36">
        <v>3</v>
      </c>
      <c r="E17" s="36">
        <v>16</v>
      </c>
      <c r="F17" s="36">
        <v>0</v>
      </c>
      <c r="G17" s="36">
        <v>0</v>
      </c>
      <c r="H17" s="29">
        <v>518</v>
      </c>
      <c r="I17" s="3">
        <v>0</v>
      </c>
      <c r="J17" s="17">
        <v>518</v>
      </c>
    </row>
    <row r="18" spans="1:10" x14ac:dyDescent="0.25">
      <c r="A18" s="16" t="s">
        <v>12</v>
      </c>
      <c r="B18" s="37">
        <v>1377</v>
      </c>
      <c r="C18" s="36">
        <v>524</v>
      </c>
      <c r="D18" s="36">
        <v>20</v>
      </c>
      <c r="E18" s="36">
        <v>33</v>
      </c>
      <c r="F18" s="36">
        <v>0</v>
      </c>
      <c r="G18" s="36">
        <v>0</v>
      </c>
      <c r="H18" s="29">
        <v>1954</v>
      </c>
      <c r="I18" s="3">
        <v>27</v>
      </c>
      <c r="J18" s="17">
        <v>1981</v>
      </c>
    </row>
    <row r="19" spans="1:10" x14ac:dyDescent="0.25">
      <c r="A19" s="16" t="s">
        <v>13</v>
      </c>
      <c r="B19" s="37">
        <v>2197</v>
      </c>
      <c r="C19" s="36">
        <v>1045</v>
      </c>
      <c r="D19" s="36">
        <v>39</v>
      </c>
      <c r="E19" s="36">
        <v>80</v>
      </c>
      <c r="F19" s="36">
        <v>0</v>
      </c>
      <c r="G19" s="36">
        <v>0</v>
      </c>
      <c r="H19" s="29">
        <v>3361</v>
      </c>
      <c r="I19" s="3">
        <v>54</v>
      </c>
      <c r="J19" s="17">
        <v>3415</v>
      </c>
    </row>
    <row r="20" spans="1:10" x14ac:dyDescent="0.25">
      <c r="A20" s="16" t="s">
        <v>14</v>
      </c>
      <c r="B20" s="37">
        <v>3370</v>
      </c>
      <c r="C20" s="37">
        <v>1318</v>
      </c>
      <c r="D20" s="36">
        <v>31</v>
      </c>
      <c r="E20" s="36">
        <v>81</v>
      </c>
      <c r="F20" s="36">
        <v>0</v>
      </c>
      <c r="G20" s="36">
        <v>0</v>
      </c>
      <c r="H20" s="29">
        <v>4800</v>
      </c>
      <c r="I20" s="3">
        <v>43</v>
      </c>
      <c r="J20" s="17">
        <v>4843</v>
      </c>
    </row>
    <row r="21" spans="1:10" x14ac:dyDescent="0.25">
      <c r="A21" s="16" t="s">
        <v>15</v>
      </c>
      <c r="B21" s="37">
        <v>1283</v>
      </c>
      <c r="C21" s="36">
        <v>444</v>
      </c>
      <c r="D21" s="36">
        <v>0</v>
      </c>
      <c r="E21" s="36">
        <v>18</v>
      </c>
      <c r="F21" s="36">
        <v>0</v>
      </c>
      <c r="G21" s="36">
        <v>0</v>
      </c>
      <c r="H21" s="29">
        <v>1745</v>
      </c>
      <c r="I21" s="3">
        <v>0</v>
      </c>
      <c r="J21" s="17">
        <v>1745</v>
      </c>
    </row>
    <row r="22" spans="1:10" x14ac:dyDescent="0.25">
      <c r="A22" s="16" t="s">
        <v>44</v>
      </c>
      <c r="B22" s="36">
        <v>1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29">
        <v>1</v>
      </c>
      <c r="I22" s="3">
        <v>0</v>
      </c>
      <c r="J22" s="17">
        <v>1</v>
      </c>
    </row>
    <row r="23" spans="1:10" ht="15.75" thickBot="1" x14ac:dyDescent="0.3">
      <c r="A23" s="18"/>
      <c r="B23" s="6"/>
      <c r="C23" s="7"/>
      <c r="D23" s="7"/>
      <c r="E23" s="7"/>
      <c r="F23" s="7"/>
      <c r="G23" s="25"/>
      <c r="H23" s="30"/>
      <c r="I23" s="6" t="s">
        <v>38</v>
      </c>
      <c r="J23" s="19"/>
    </row>
    <row r="24" spans="1:10" ht="24.95" customHeight="1" thickBot="1" x14ac:dyDescent="0.3">
      <c r="A24" s="20" t="s">
        <v>16</v>
      </c>
      <c r="B24" s="31">
        <f>SUM(B7:B22)</f>
        <v>45469</v>
      </c>
      <c r="C24" s="31">
        <f>SUM(C7:C22)</f>
        <v>37742</v>
      </c>
      <c r="D24" s="31">
        <f>SUM(D7:D22)</f>
        <v>14226</v>
      </c>
      <c r="E24" s="31">
        <f>SUM(E7:E22)</f>
        <v>4398</v>
      </c>
      <c r="F24" s="31">
        <f>SUM(F7:F22)</f>
        <v>15200</v>
      </c>
      <c r="G24" s="31">
        <f>SUM(G7:G22)</f>
        <v>13708</v>
      </c>
      <c r="H24" s="31">
        <f>SUM(H7:H22)</f>
        <v>130743</v>
      </c>
      <c r="I24" s="31">
        <f>SUM(I7:I22)</f>
        <v>1100</v>
      </c>
      <c r="J24" s="32">
        <f>SUM(J7:J22)</f>
        <v>131843</v>
      </c>
    </row>
    <row r="25" spans="1:10" x14ac:dyDescent="0.25">
      <c r="A25" s="16" t="s">
        <v>17</v>
      </c>
      <c r="B25" s="4">
        <v>2056</v>
      </c>
      <c r="C25" s="5">
        <v>1536</v>
      </c>
      <c r="D25" s="5">
        <v>357</v>
      </c>
      <c r="E25" s="5">
        <v>176</v>
      </c>
      <c r="F25" s="5">
        <v>1920</v>
      </c>
      <c r="G25" s="23">
        <v>956</v>
      </c>
      <c r="H25" s="29">
        <v>7001</v>
      </c>
      <c r="I25" s="4">
        <v>70</v>
      </c>
      <c r="J25" s="21">
        <v>7071</v>
      </c>
    </row>
    <row r="26" spans="1:10" x14ac:dyDescent="0.25">
      <c r="A26" s="16" t="s">
        <v>18</v>
      </c>
      <c r="B26" s="3">
        <v>7229</v>
      </c>
      <c r="C26" s="2">
        <v>5694</v>
      </c>
      <c r="D26" s="2">
        <v>903</v>
      </c>
      <c r="E26" s="2">
        <v>517</v>
      </c>
      <c r="F26" s="2">
        <v>4414</v>
      </c>
      <c r="G26" s="24">
        <v>2906</v>
      </c>
      <c r="H26" s="29">
        <v>21663</v>
      </c>
      <c r="I26" s="3">
        <v>116</v>
      </c>
      <c r="J26" s="21">
        <v>21779</v>
      </c>
    </row>
    <row r="27" spans="1:10" x14ac:dyDescent="0.25">
      <c r="A27" s="16" t="s">
        <v>19</v>
      </c>
      <c r="B27" s="3">
        <v>19905</v>
      </c>
      <c r="C27" s="2">
        <v>14433</v>
      </c>
      <c r="D27" s="2">
        <v>3716</v>
      </c>
      <c r="E27" s="2">
        <v>1077</v>
      </c>
      <c r="F27" s="2">
        <v>15160</v>
      </c>
      <c r="G27" s="24">
        <v>8316</v>
      </c>
      <c r="H27" s="29">
        <v>62607</v>
      </c>
      <c r="I27" s="3">
        <v>675</v>
      </c>
      <c r="J27" s="21">
        <v>63282</v>
      </c>
    </row>
    <row r="28" spans="1:10" x14ac:dyDescent="0.25">
      <c r="A28" s="16" t="s">
        <v>20</v>
      </c>
      <c r="B28" s="3">
        <v>37566</v>
      </c>
      <c r="C28" s="2">
        <v>19883</v>
      </c>
      <c r="D28" s="2">
        <v>10445</v>
      </c>
      <c r="E28" s="2">
        <v>2073</v>
      </c>
      <c r="F28" s="2">
        <v>18746</v>
      </c>
      <c r="G28" s="24">
        <v>12058</v>
      </c>
      <c r="H28" s="29">
        <v>100771</v>
      </c>
      <c r="I28" s="3">
        <v>1446</v>
      </c>
      <c r="J28" s="21">
        <v>102217</v>
      </c>
    </row>
    <row r="29" spans="1:10" x14ac:dyDescent="0.25">
      <c r="A29" s="16" t="s">
        <v>21</v>
      </c>
      <c r="B29" s="3">
        <v>62718</v>
      </c>
      <c r="C29" s="2">
        <v>33742</v>
      </c>
      <c r="D29" s="2">
        <v>13825</v>
      </c>
      <c r="E29" s="2">
        <v>4534</v>
      </c>
      <c r="F29" s="2">
        <v>20147</v>
      </c>
      <c r="G29" s="24">
        <v>11889</v>
      </c>
      <c r="H29" s="29">
        <v>146855</v>
      </c>
      <c r="I29" s="3">
        <v>1666</v>
      </c>
      <c r="J29" s="21">
        <v>148521</v>
      </c>
    </row>
    <row r="30" spans="1:10" x14ac:dyDescent="0.25">
      <c r="A30" s="16" t="s">
        <v>22</v>
      </c>
      <c r="B30" s="3">
        <v>99481</v>
      </c>
      <c r="C30" s="2">
        <v>54863</v>
      </c>
      <c r="D30" s="2">
        <v>8175</v>
      </c>
      <c r="E30" s="2">
        <v>6443</v>
      </c>
      <c r="F30" s="2">
        <v>16088</v>
      </c>
      <c r="G30" s="24">
        <v>13313</v>
      </c>
      <c r="H30" s="29">
        <v>198363</v>
      </c>
      <c r="I30" s="3">
        <v>1293</v>
      </c>
      <c r="J30" s="21">
        <v>199656</v>
      </c>
    </row>
    <row r="31" spans="1:10" x14ac:dyDescent="0.25">
      <c r="A31" s="16" t="s">
        <v>23</v>
      </c>
      <c r="B31" s="3">
        <v>36416</v>
      </c>
      <c r="C31" s="2">
        <v>16394</v>
      </c>
      <c r="D31" s="2">
        <v>4034</v>
      </c>
      <c r="E31" s="2">
        <v>14732</v>
      </c>
      <c r="F31" s="2">
        <v>12593</v>
      </c>
      <c r="G31" s="24">
        <v>3419</v>
      </c>
      <c r="H31" s="29">
        <v>87588</v>
      </c>
      <c r="I31" s="3">
        <v>85</v>
      </c>
      <c r="J31" s="21">
        <v>87673</v>
      </c>
    </row>
    <row r="32" spans="1:10" x14ac:dyDescent="0.25">
      <c r="A32" s="16" t="s">
        <v>24</v>
      </c>
      <c r="B32" s="3">
        <v>18059</v>
      </c>
      <c r="C32" s="2">
        <v>7223</v>
      </c>
      <c r="D32" s="2">
        <v>1405</v>
      </c>
      <c r="E32" s="2">
        <v>3258</v>
      </c>
      <c r="F32" s="2">
        <v>487</v>
      </c>
      <c r="G32" s="24">
        <v>706</v>
      </c>
      <c r="H32" s="29">
        <v>31138</v>
      </c>
      <c r="I32" s="3">
        <v>1</v>
      </c>
      <c r="J32" s="21">
        <v>31139</v>
      </c>
    </row>
    <row r="33" spans="1:10" x14ac:dyDescent="0.25">
      <c r="A33" s="16" t="s">
        <v>25</v>
      </c>
      <c r="B33" s="2">
        <v>12667</v>
      </c>
      <c r="C33" s="2">
        <v>7072</v>
      </c>
      <c r="D33" s="2">
        <v>1039</v>
      </c>
      <c r="E33" s="2">
        <v>1596</v>
      </c>
      <c r="F33" s="2">
        <v>937</v>
      </c>
      <c r="G33" s="24">
        <v>965</v>
      </c>
      <c r="H33" s="29">
        <v>24276</v>
      </c>
      <c r="I33" s="3">
        <v>0</v>
      </c>
      <c r="J33" s="21">
        <v>24276</v>
      </c>
    </row>
    <row r="34" spans="1:10" x14ac:dyDescent="0.25">
      <c r="A34" s="16" t="s">
        <v>43</v>
      </c>
      <c r="B34" s="2">
        <v>0</v>
      </c>
      <c r="C34" s="2">
        <v>0</v>
      </c>
      <c r="D34" s="2">
        <v>1</v>
      </c>
      <c r="E34" s="2">
        <v>0</v>
      </c>
      <c r="F34" s="2">
        <v>1</v>
      </c>
      <c r="G34" s="41">
        <v>0</v>
      </c>
      <c r="H34" s="29">
        <v>2</v>
      </c>
      <c r="I34" s="3">
        <v>0</v>
      </c>
      <c r="J34" s="21">
        <v>2</v>
      </c>
    </row>
    <row r="35" spans="1:10" ht="15.75" thickBot="1" x14ac:dyDescent="0.3">
      <c r="A35" s="16"/>
      <c r="B35" s="8"/>
      <c r="C35" s="8"/>
      <c r="D35" s="8"/>
      <c r="E35" s="8"/>
      <c r="F35" s="8"/>
      <c r="G35" s="38"/>
      <c r="H35" s="40"/>
      <c r="I35" s="8"/>
      <c r="J35" s="39"/>
    </row>
    <row r="36" spans="1:10" ht="15.75" thickBot="1" x14ac:dyDescent="0.3">
      <c r="A36" s="20" t="s">
        <v>26</v>
      </c>
      <c r="B36" s="31">
        <f>SUM(B25:B34)</f>
        <v>296097</v>
      </c>
      <c r="C36" s="31">
        <f>SUM(C25:C34)</f>
        <v>160840</v>
      </c>
      <c r="D36" s="31">
        <f>SUM(D25:D34)</f>
        <v>43900</v>
      </c>
      <c r="E36" s="31">
        <f>SUM(E25:E34)</f>
        <v>34406</v>
      </c>
      <c r="F36" s="31">
        <f>SUM(F25:F34)</f>
        <v>90493</v>
      </c>
      <c r="G36" s="31">
        <f>SUM(G25:G34)</f>
        <v>54528</v>
      </c>
      <c r="H36" s="31">
        <f>SUM(H25:H34)</f>
        <v>680264</v>
      </c>
      <c r="I36" s="31">
        <f>SUM(I25:I34)</f>
        <v>5352</v>
      </c>
      <c r="J36" s="32">
        <f>SUM(J25:J34)</f>
        <v>685616</v>
      </c>
    </row>
    <row r="37" spans="1:10" ht="16.5" thickTop="1" thickBot="1" x14ac:dyDescent="0.3">
      <c r="A37" s="9" t="s">
        <v>27</v>
      </c>
      <c r="B37" s="33">
        <f>SUM(B24,B36)</f>
        <v>341566</v>
      </c>
      <c r="C37" s="33">
        <f>SUM(C24,C36)</f>
        <v>198582</v>
      </c>
      <c r="D37" s="33">
        <f>SUM(D24,D36)</f>
        <v>58126</v>
      </c>
      <c r="E37" s="33">
        <f>SUM(E24,E36)</f>
        <v>38804</v>
      </c>
      <c r="F37" s="33">
        <f>SUM(F24,F36)</f>
        <v>105693</v>
      </c>
      <c r="G37" s="34">
        <f>SUM(G24,G36)</f>
        <v>68236</v>
      </c>
      <c r="H37" s="27">
        <f>SUM(H24,H36)</f>
        <v>811007</v>
      </c>
      <c r="I37" s="33">
        <f>SUM(I24,I36)</f>
        <v>6452</v>
      </c>
      <c r="J37" s="35">
        <f>SUM(J24,J36)</f>
        <v>817459</v>
      </c>
    </row>
    <row r="38" spans="1:10" ht="15.75" thickTop="1" x14ac:dyDescent="0.25">
      <c r="B38" s="10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2" width="15.85546875" customWidth="1"/>
    <col min="3" max="10" width="15.7109375" customWidth="1"/>
  </cols>
  <sheetData>
    <row r="1" spans="1:10" ht="19.5" thickTop="1" x14ac:dyDescent="0.3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75" x14ac:dyDescent="0.3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75" x14ac:dyDescent="0.3">
      <c r="A3" s="48" t="s">
        <v>51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.5" thickBot="1" x14ac:dyDescent="0.3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.75" thickBot="1" x14ac:dyDescent="0.3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1" customFormat="1" ht="30.75" thickBot="1" x14ac:dyDescent="0.3">
      <c r="A6" s="14" t="s">
        <v>0</v>
      </c>
      <c r="B6" s="12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22" t="s">
        <v>35</v>
      </c>
      <c r="H6" s="28" t="s">
        <v>36</v>
      </c>
      <c r="I6" s="26" t="s">
        <v>39</v>
      </c>
      <c r="J6" s="15" t="s">
        <v>37</v>
      </c>
    </row>
    <row r="7" spans="1:10" ht="15.75" thickTop="1" x14ac:dyDescent="0.25">
      <c r="A7" s="16" t="s">
        <v>1</v>
      </c>
      <c r="B7" s="36">
        <v>0</v>
      </c>
      <c r="C7" s="36">
        <v>0</v>
      </c>
      <c r="D7" s="36">
        <v>0</v>
      </c>
      <c r="E7" s="36">
        <v>0</v>
      </c>
      <c r="F7" s="36">
        <v>1</v>
      </c>
      <c r="G7" s="36">
        <v>0</v>
      </c>
      <c r="H7" s="29">
        <v>1</v>
      </c>
      <c r="I7" s="4">
        <v>0</v>
      </c>
      <c r="J7" s="17">
        <v>1</v>
      </c>
    </row>
    <row r="8" spans="1:10" x14ac:dyDescent="0.25">
      <c r="A8" s="16" t="s">
        <v>2</v>
      </c>
      <c r="B8" s="36">
        <v>3</v>
      </c>
      <c r="C8" s="36">
        <v>0</v>
      </c>
      <c r="D8" s="36">
        <v>0</v>
      </c>
      <c r="E8" s="36">
        <v>1</v>
      </c>
      <c r="F8" s="36">
        <v>2</v>
      </c>
      <c r="G8" s="36">
        <v>0</v>
      </c>
      <c r="H8" s="29">
        <v>6</v>
      </c>
      <c r="I8" s="3">
        <v>0</v>
      </c>
      <c r="J8" s="17">
        <v>6</v>
      </c>
    </row>
    <row r="9" spans="1:10" x14ac:dyDescent="0.25">
      <c r="A9" s="16" t="s">
        <v>3</v>
      </c>
      <c r="B9" s="36">
        <v>62</v>
      </c>
      <c r="C9" s="36">
        <v>32</v>
      </c>
      <c r="D9" s="36">
        <v>15</v>
      </c>
      <c r="E9" s="36">
        <v>3</v>
      </c>
      <c r="F9" s="36">
        <v>40</v>
      </c>
      <c r="G9" s="36">
        <v>27</v>
      </c>
      <c r="H9" s="29">
        <v>179</v>
      </c>
      <c r="I9" s="3">
        <v>1</v>
      </c>
      <c r="J9" s="17">
        <v>180</v>
      </c>
    </row>
    <row r="10" spans="1:10" x14ac:dyDescent="0.25">
      <c r="A10" s="16" t="s">
        <v>4</v>
      </c>
      <c r="B10" s="36">
        <v>168</v>
      </c>
      <c r="C10" s="36">
        <v>78</v>
      </c>
      <c r="D10" s="36">
        <v>34</v>
      </c>
      <c r="E10" s="36">
        <v>8</v>
      </c>
      <c r="F10" s="36">
        <v>135</v>
      </c>
      <c r="G10" s="36">
        <v>58</v>
      </c>
      <c r="H10" s="29">
        <v>481</v>
      </c>
      <c r="I10" s="3">
        <v>0</v>
      </c>
      <c r="J10" s="17">
        <v>481</v>
      </c>
    </row>
    <row r="11" spans="1:10" x14ac:dyDescent="0.25">
      <c r="A11" s="16" t="s">
        <v>5</v>
      </c>
      <c r="B11" s="37">
        <v>1400</v>
      </c>
      <c r="C11" s="37">
        <v>1861</v>
      </c>
      <c r="D11" s="37">
        <v>1195</v>
      </c>
      <c r="E11" s="36">
        <v>292</v>
      </c>
      <c r="F11" s="37">
        <v>1011</v>
      </c>
      <c r="G11" s="37">
        <v>1008</v>
      </c>
      <c r="H11" s="29">
        <v>6767</v>
      </c>
      <c r="I11" s="3">
        <v>30</v>
      </c>
      <c r="J11" s="17">
        <v>6797</v>
      </c>
    </row>
    <row r="12" spans="1:10" x14ac:dyDescent="0.25">
      <c r="A12" s="16" t="s">
        <v>6</v>
      </c>
      <c r="B12" s="37">
        <v>3540</v>
      </c>
      <c r="C12" s="37">
        <v>5081</v>
      </c>
      <c r="D12" s="37">
        <v>3132</v>
      </c>
      <c r="E12" s="36">
        <v>741</v>
      </c>
      <c r="F12" s="37">
        <v>3956</v>
      </c>
      <c r="G12" s="37">
        <v>3896</v>
      </c>
      <c r="H12" s="29">
        <v>20346</v>
      </c>
      <c r="I12" s="3">
        <v>148</v>
      </c>
      <c r="J12" s="17">
        <v>20494</v>
      </c>
    </row>
    <row r="13" spans="1:10" x14ac:dyDescent="0.25">
      <c r="A13" s="16" t="s">
        <v>7</v>
      </c>
      <c r="B13" s="37">
        <v>6622</v>
      </c>
      <c r="C13" s="37">
        <v>7607</v>
      </c>
      <c r="D13" s="37">
        <v>4764</v>
      </c>
      <c r="E13" s="37">
        <v>1274</v>
      </c>
      <c r="F13" s="37">
        <v>4306</v>
      </c>
      <c r="G13" s="37">
        <v>5052</v>
      </c>
      <c r="H13" s="29">
        <v>29625</v>
      </c>
      <c r="I13" s="3">
        <v>305</v>
      </c>
      <c r="J13" s="17">
        <v>29930</v>
      </c>
    </row>
    <row r="14" spans="1:10" x14ac:dyDescent="0.25">
      <c r="A14" s="16" t="s">
        <v>8</v>
      </c>
      <c r="B14" s="37">
        <v>10614</v>
      </c>
      <c r="C14" s="37">
        <v>11635</v>
      </c>
      <c r="D14" s="37">
        <v>3924</v>
      </c>
      <c r="E14" s="37">
        <v>1254</v>
      </c>
      <c r="F14" s="37">
        <v>3481</v>
      </c>
      <c r="G14" s="37">
        <v>2685</v>
      </c>
      <c r="H14" s="29">
        <v>33593</v>
      </c>
      <c r="I14" s="3">
        <v>380</v>
      </c>
      <c r="J14" s="17">
        <v>33973</v>
      </c>
    </row>
    <row r="15" spans="1:10" x14ac:dyDescent="0.25">
      <c r="A15" s="16" t="s">
        <v>9</v>
      </c>
      <c r="B15" s="37">
        <v>8859</v>
      </c>
      <c r="C15" s="37">
        <v>5662</v>
      </c>
      <c r="D15" s="36">
        <v>697</v>
      </c>
      <c r="E15" s="36">
        <v>302</v>
      </c>
      <c r="F15" s="37">
        <v>1244</v>
      </c>
      <c r="G15" s="36">
        <v>614</v>
      </c>
      <c r="H15" s="29">
        <v>17378</v>
      </c>
      <c r="I15" s="3">
        <v>78</v>
      </c>
      <c r="J15" s="17">
        <v>17456</v>
      </c>
    </row>
    <row r="16" spans="1:10" x14ac:dyDescent="0.25">
      <c r="A16" s="16" t="s">
        <v>10</v>
      </c>
      <c r="B16" s="37">
        <v>5473</v>
      </c>
      <c r="C16" s="37">
        <v>2332</v>
      </c>
      <c r="D16" s="36">
        <v>379</v>
      </c>
      <c r="E16" s="36">
        <v>277</v>
      </c>
      <c r="F16" s="37">
        <v>987</v>
      </c>
      <c r="G16" s="36">
        <v>318</v>
      </c>
      <c r="H16" s="29">
        <v>9766</v>
      </c>
      <c r="I16" s="3">
        <v>33</v>
      </c>
      <c r="J16" s="17">
        <v>9799</v>
      </c>
    </row>
    <row r="17" spans="1:10" x14ac:dyDescent="0.25">
      <c r="A17" s="16" t="s">
        <v>11</v>
      </c>
      <c r="B17" s="36">
        <v>1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29">
        <v>1</v>
      </c>
      <c r="I17" s="3">
        <v>0</v>
      </c>
      <c r="J17" s="17">
        <v>1</v>
      </c>
    </row>
    <row r="18" spans="1:10" x14ac:dyDescent="0.25">
      <c r="A18" s="16" t="s">
        <v>12</v>
      </c>
      <c r="B18" s="37">
        <v>382</v>
      </c>
      <c r="C18" s="36">
        <v>106</v>
      </c>
      <c r="D18" s="36">
        <v>3</v>
      </c>
      <c r="E18" s="36">
        <v>16</v>
      </c>
      <c r="F18" s="36">
        <v>0</v>
      </c>
      <c r="G18" s="36">
        <v>0</v>
      </c>
      <c r="H18" s="29">
        <v>507</v>
      </c>
      <c r="I18" s="3">
        <v>0</v>
      </c>
      <c r="J18" s="17">
        <v>507</v>
      </c>
    </row>
    <row r="19" spans="1:10" x14ac:dyDescent="0.25">
      <c r="A19" s="16" t="s">
        <v>13</v>
      </c>
      <c r="B19" s="37">
        <v>1363</v>
      </c>
      <c r="C19" s="36">
        <v>519</v>
      </c>
      <c r="D19" s="36">
        <v>19</v>
      </c>
      <c r="E19" s="36">
        <v>31</v>
      </c>
      <c r="F19" s="36">
        <v>0</v>
      </c>
      <c r="G19" s="36">
        <v>0</v>
      </c>
      <c r="H19" s="29">
        <v>1932</v>
      </c>
      <c r="I19" s="3">
        <v>28</v>
      </c>
      <c r="J19" s="17">
        <v>1960</v>
      </c>
    </row>
    <row r="20" spans="1:10" x14ac:dyDescent="0.25">
      <c r="A20" s="16" t="s">
        <v>14</v>
      </c>
      <c r="B20" s="37">
        <v>2180</v>
      </c>
      <c r="C20" s="37">
        <v>1051</v>
      </c>
      <c r="D20" s="36">
        <v>37</v>
      </c>
      <c r="E20" s="36">
        <v>80</v>
      </c>
      <c r="F20" s="36">
        <v>0</v>
      </c>
      <c r="G20" s="36">
        <v>0</v>
      </c>
      <c r="H20" s="29">
        <v>3348</v>
      </c>
      <c r="I20" s="3">
        <v>52</v>
      </c>
      <c r="J20" s="17">
        <v>3400</v>
      </c>
    </row>
    <row r="21" spans="1:10" x14ac:dyDescent="0.25">
      <c r="A21" s="16" t="s">
        <v>15</v>
      </c>
      <c r="B21" s="37">
        <v>3346</v>
      </c>
      <c r="C21" s="36">
        <v>1330</v>
      </c>
      <c r="D21" s="36">
        <v>32</v>
      </c>
      <c r="E21" s="36">
        <v>80</v>
      </c>
      <c r="F21" s="36">
        <v>0</v>
      </c>
      <c r="G21" s="36">
        <v>0</v>
      </c>
      <c r="H21" s="29">
        <v>4788</v>
      </c>
      <c r="I21" s="3">
        <v>43</v>
      </c>
      <c r="J21" s="17">
        <v>4831</v>
      </c>
    </row>
    <row r="22" spans="1:10" x14ac:dyDescent="0.25">
      <c r="A22" s="16" t="s">
        <v>44</v>
      </c>
      <c r="B22" s="36">
        <v>1291</v>
      </c>
      <c r="C22" s="36">
        <v>430</v>
      </c>
      <c r="D22" s="36">
        <v>0</v>
      </c>
      <c r="E22" s="36">
        <v>18</v>
      </c>
      <c r="F22" s="36">
        <v>0</v>
      </c>
      <c r="G22" s="36">
        <v>0</v>
      </c>
      <c r="H22" s="29">
        <v>1739</v>
      </c>
      <c r="I22" s="3">
        <v>0</v>
      </c>
      <c r="J22" s="17">
        <v>1739</v>
      </c>
    </row>
    <row r="23" spans="1:10" ht="15.75" thickBot="1" x14ac:dyDescent="0.3">
      <c r="A23" s="18"/>
      <c r="B23" s="6"/>
      <c r="C23" s="7"/>
      <c r="D23" s="7"/>
      <c r="E23" s="7"/>
      <c r="F23" s="7"/>
      <c r="G23" s="25"/>
      <c r="H23" s="30"/>
      <c r="I23" s="6" t="s">
        <v>38</v>
      </c>
      <c r="J23" s="19"/>
    </row>
    <row r="24" spans="1:10" ht="24.95" customHeight="1" thickBot="1" x14ac:dyDescent="0.3">
      <c r="A24" s="20" t="s">
        <v>16</v>
      </c>
      <c r="B24" s="31">
        <f>SUM(B7:B22)</f>
        <v>45304</v>
      </c>
      <c r="C24" s="31">
        <f>SUM(C7:C22)</f>
        <v>37724</v>
      </c>
      <c r="D24" s="31">
        <f>SUM(D7:D22)</f>
        <v>14231</v>
      </c>
      <c r="E24" s="31">
        <f>SUM(E7:E22)</f>
        <v>4377</v>
      </c>
      <c r="F24" s="31">
        <f>SUM(F7:F22)</f>
        <v>15163</v>
      </c>
      <c r="G24" s="31">
        <f>SUM(G7:G22)</f>
        <v>13658</v>
      </c>
      <c r="H24" s="31">
        <f>SUM(H7:H22)</f>
        <v>130457</v>
      </c>
      <c r="I24" s="31">
        <f>SUM(I7:I22)</f>
        <v>1098</v>
      </c>
      <c r="J24" s="32">
        <f>SUM(J7:J22)</f>
        <v>131555</v>
      </c>
    </row>
    <row r="25" spans="1:10" x14ac:dyDescent="0.25">
      <c r="A25" s="16" t="s">
        <v>17</v>
      </c>
      <c r="B25" s="4">
        <v>2050</v>
      </c>
      <c r="C25" s="5">
        <v>1515</v>
      </c>
      <c r="D25" s="5">
        <v>360</v>
      </c>
      <c r="E25" s="5">
        <v>175</v>
      </c>
      <c r="F25" s="5">
        <v>1924</v>
      </c>
      <c r="G25" s="23">
        <v>954</v>
      </c>
      <c r="H25" s="29">
        <v>6978</v>
      </c>
      <c r="I25" s="4">
        <v>69</v>
      </c>
      <c r="J25" s="21">
        <v>7047</v>
      </c>
    </row>
    <row r="26" spans="1:10" x14ac:dyDescent="0.25">
      <c r="A26" s="16" t="s">
        <v>18</v>
      </c>
      <c r="B26" s="3">
        <v>7175</v>
      </c>
      <c r="C26" s="2">
        <v>5648</v>
      </c>
      <c r="D26" s="2">
        <v>913</v>
      </c>
      <c r="E26" s="2">
        <v>513</v>
      </c>
      <c r="F26" s="2">
        <v>4423</v>
      </c>
      <c r="G26" s="24">
        <v>2904</v>
      </c>
      <c r="H26" s="29">
        <v>21576</v>
      </c>
      <c r="I26" s="3">
        <v>126</v>
      </c>
      <c r="J26" s="21">
        <v>21702</v>
      </c>
    </row>
    <row r="27" spans="1:10" x14ac:dyDescent="0.25">
      <c r="A27" s="16" t="s">
        <v>19</v>
      </c>
      <c r="B27" s="3">
        <v>19728</v>
      </c>
      <c r="C27" s="2">
        <v>14544</v>
      </c>
      <c r="D27" s="2">
        <v>3740</v>
      </c>
      <c r="E27" s="2">
        <v>1073</v>
      </c>
      <c r="F27" s="2">
        <v>15173</v>
      </c>
      <c r="G27" s="24">
        <v>8278</v>
      </c>
      <c r="H27" s="29">
        <v>62536</v>
      </c>
      <c r="I27" s="3">
        <v>667</v>
      </c>
      <c r="J27" s="21">
        <v>63203</v>
      </c>
    </row>
    <row r="28" spans="1:10" x14ac:dyDescent="0.25">
      <c r="A28" s="16" t="s">
        <v>20</v>
      </c>
      <c r="B28" s="3">
        <v>37348</v>
      </c>
      <c r="C28" s="2">
        <v>19754</v>
      </c>
      <c r="D28" s="2">
        <v>10440</v>
      </c>
      <c r="E28" s="2">
        <v>2052</v>
      </c>
      <c r="F28" s="2">
        <v>18755</v>
      </c>
      <c r="G28" s="24">
        <v>12062</v>
      </c>
      <c r="H28" s="29">
        <v>100411</v>
      </c>
      <c r="I28" s="3">
        <v>1495</v>
      </c>
      <c r="J28" s="21">
        <v>101906</v>
      </c>
    </row>
    <row r="29" spans="1:10" x14ac:dyDescent="0.25">
      <c r="A29" s="16" t="s">
        <v>21</v>
      </c>
      <c r="B29" s="3">
        <v>62631</v>
      </c>
      <c r="C29" s="2">
        <v>33577</v>
      </c>
      <c r="D29" s="2">
        <v>13809</v>
      </c>
      <c r="E29" s="2">
        <v>4760</v>
      </c>
      <c r="F29" s="2">
        <v>20160</v>
      </c>
      <c r="G29" s="24">
        <v>12001</v>
      </c>
      <c r="H29" s="29">
        <v>146938</v>
      </c>
      <c r="I29" s="3">
        <v>1674</v>
      </c>
      <c r="J29" s="21">
        <v>148612</v>
      </c>
    </row>
    <row r="30" spans="1:10" x14ac:dyDescent="0.25">
      <c r="A30" s="16" t="s">
        <v>22</v>
      </c>
      <c r="B30" s="3">
        <v>100142</v>
      </c>
      <c r="C30" s="2">
        <v>55379</v>
      </c>
      <c r="D30" s="2">
        <v>8138</v>
      </c>
      <c r="E30" s="2">
        <v>6411</v>
      </c>
      <c r="F30" s="2">
        <v>15905</v>
      </c>
      <c r="G30" s="24">
        <v>13232</v>
      </c>
      <c r="H30" s="29">
        <v>199207</v>
      </c>
      <c r="I30" s="3">
        <v>1220</v>
      </c>
      <c r="J30" s="21">
        <v>200427</v>
      </c>
    </row>
    <row r="31" spans="1:10" x14ac:dyDescent="0.25">
      <c r="A31" s="16" t="s">
        <v>23</v>
      </c>
      <c r="B31" s="3">
        <v>36267</v>
      </c>
      <c r="C31" s="2">
        <v>16280</v>
      </c>
      <c r="D31" s="2">
        <v>4063</v>
      </c>
      <c r="E31" s="2">
        <v>14304</v>
      </c>
      <c r="F31" s="2">
        <v>12426</v>
      </c>
      <c r="G31" s="24">
        <v>3458</v>
      </c>
      <c r="H31" s="29">
        <v>86798</v>
      </c>
      <c r="I31" s="3">
        <v>92</v>
      </c>
      <c r="J31" s="21">
        <v>86890</v>
      </c>
    </row>
    <row r="32" spans="1:10" x14ac:dyDescent="0.25">
      <c r="A32" s="16" t="s">
        <v>24</v>
      </c>
      <c r="B32" s="3">
        <v>17760</v>
      </c>
      <c r="C32" s="2">
        <v>7338</v>
      </c>
      <c r="D32" s="2">
        <v>1444</v>
      </c>
      <c r="E32" s="2">
        <v>3601</v>
      </c>
      <c r="F32" s="2">
        <v>498</v>
      </c>
      <c r="G32" s="24">
        <v>697</v>
      </c>
      <c r="H32" s="29">
        <v>31338</v>
      </c>
      <c r="I32" s="3">
        <v>1</v>
      </c>
      <c r="J32" s="21">
        <v>31339</v>
      </c>
    </row>
    <row r="33" spans="1:10" x14ac:dyDescent="0.25">
      <c r="A33" s="16" t="s">
        <v>25</v>
      </c>
      <c r="B33" s="2">
        <v>13060</v>
      </c>
      <c r="C33" s="2">
        <v>7229</v>
      </c>
      <c r="D33" s="2">
        <v>1025</v>
      </c>
      <c r="E33" s="2">
        <v>1385</v>
      </c>
      <c r="F33" s="2">
        <v>1005</v>
      </c>
      <c r="G33" s="24">
        <v>998</v>
      </c>
      <c r="H33" s="29">
        <v>24702</v>
      </c>
      <c r="I33" s="3">
        <v>0</v>
      </c>
      <c r="J33" s="21">
        <v>24702</v>
      </c>
    </row>
    <row r="34" spans="1:10" x14ac:dyDescent="0.25">
      <c r="A34" s="16" t="s">
        <v>43</v>
      </c>
      <c r="B34" s="2">
        <v>0</v>
      </c>
      <c r="C34" s="2">
        <v>0</v>
      </c>
      <c r="D34" s="2">
        <v>0</v>
      </c>
      <c r="E34" s="2">
        <v>0</v>
      </c>
      <c r="F34" s="2">
        <v>1</v>
      </c>
      <c r="G34" s="41">
        <v>0</v>
      </c>
      <c r="H34" s="29">
        <v>1</v>
      </c>
      <c r="I34" s="3">
        <v>0</v>
      </c>
      <c r="J34" s="21">
        <v>1</v>
      </c>
    </row>
    <row r="35" spans="1:10" ht="15.75" thickBot="1" x14ac:dyDescent="0.3">
      <c r="A35" s="16"/>
      <c r="B35" s="8"/>
      <c r="C35" s="8"/>
      <c r="D35" s="8"/>
      <c r="E35" s="8"/>
      <c r="F35" s="8"/>
      <c r="G35" s="38"/>
      <c r="H35" s="40"/>
      <c r="I35" s="8"/>
      <c r="J35" s="39"/>
    </row>
    <row r="36" spans="1:10" ht="15.75" thickBot="1" x14ac:dyDescent="0.3">
      <c r="A36" s="20" t="s">
        <v>26</v>
      </c>
      <c r="B36" s="31">
        <f>SUM(B25:B34)</f>
        <v>296161</v>
      </c>
      <c r="C36" s="31">
        <f>SUM(C25:C34)</f>
        <v>161264</v>
      </c>
      <c r="D36" s="31">
        <f>SUM(D25:D34)</f>
        <v>43932</v>
      </c>
      <c r="E36" s="31">
        <f>SUM(E25:E34)</f>
        <v>34274</v>
      </c>
      <c r="F36" s="31">
        <f>SUM(F25:F34)</f>
        <v>90270</v>
      </c>
      <c r="G36" s="31">
        <f>SUM(G25:G34)</f>
        <v>54584</v>
      </c>
      <c r="H36" s="31">
        <f>SUM(H25:H34)</f>
        <v>680485</v>
      </c>
      <c r="I36" s="31">
        <f>SUM(I25:I34)</f>
        <v>5344</v>
      </c>
      <c r="J36" s="32">
        <f>SUM(J25:J34)</f>
        <v>685829</v>
      </c>
    </row>
    <row r="37" spans="1:10" ht="16.5" thickTop="1" thickBot="1" x14ac:dyDescent="0.3">
      <c r="A37" s="9" t="s">
        <v>27</v>
      </c>
      <c r="B37" s="33">
        <f>SUM(B24,B36)</f>
        <v>341465</v>
      </c>
      <c r="C37" s="33">
        <f>SUM(C24,C36)</f>
        <v>198988</v>
      </c>
      <c r="D37" s="33">
        <f>SUM(D24,D36)</f>
        <v>58163</v>
      </c>
      <c r="E37" s="33">
        <f>SUM(E24,E36)</f>
        <v>38651</v>
      </c>
      <c r="F37" s="33">
        <f>SUM(F24,F36)</f>
        <v>105433</v>
      </c>
      <c r="G37" s="34">
        <f>SUM(G24,G36)</f>
        <v>68242</v>
      </c>
      <c r="H37" s="27">
        <f>SUM(H24,H36)</f>
        <v>810942</v>
      </c>
      <c r="I37" s="33">
        <f>SUM(I24,I36)</f>
        <v>6442</v>
      </c>
      <c r="J37" s="35">
        <f>SUM(J24,J36)</f>
        <v>817384</v>
      </c>
    </row>
    <row r="38" spans="1:10" ht="15.75" thickTop="1" x14ac:dyDescent="0.25">
      <c r="B38" s="10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workbookViewId="0">
      <selection activeCell="A4" sqref="A4:J4"/>
    </sheetView>
  </sheetViews>
  <sheetFormatPr defaultRowHeight="15" x14ac:dyDescent="0.25"/>
  <cols>
    <col min="1" max="1" width="40.85546875" style="1" bestFit="1" customWidth="1"/>
    <col min="2" max="2" width="15.85546875" customWidth="1"/>
    <col min="3" max="10" width="15.7109375" customWidth="1"/>
  </cols>
  <sheetData>
    <row r="1" spans="1:10" ht="19.5" thickTop="1" x14ac:dyDescent="0.3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75" x14ac:dyDescent="0.3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75" x14ac:dyDescent="0.3">
      <c r="A3" s="48" t="s">
        <v>50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.5" thickBot="1" x14ac:dyDescent="0.3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.75" thickBot="1" x14ac:dyDescent="0.3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1" customFormat="1" ht="30.75" thickBot="1" x14ac:dyDescent="0.3">
      <c r="A6" s="14" t="s">
        <v>0</v>
      </c>
      <c r="B6" s="12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22" t="s">
        <v>35</v>
      </c>
      <c r="H6" s="28" t="s">
        <v>36</v>
      </c>
      <c r="I6" s="26" t="s">
        <v>39</v>
      </c>
      <c r="J6" s="15" t="s">
        <v>37</v>
      </c>
    </row>
    <row r="7" spans="1:10" ht="15.75" thickTop="1" x14ac:dyDescent="0.25">
      <c r="A7" s="16" t="s">
        <v>1</v>
      </c>
      <c r="B7" s="36">
        <v>0</v>
      </c>
      <c r="C7" s="36">
        <v>0</v>
      </c>
      <c r="D7" s="36">
        <v>0</v>
      </c>
      <c r="E7" s="36">
        <v>0</v>
      </c>
      <c r="F7" s="36">
        <v>1</v>
      </c>
      <c r="G7" s="36">
        <v>0</v>
      </c>
      <c r="H7" s="29">
        <v>1</v>
      </c>
      <c r="I7" s="4">
        <v>0</v>
      </c>
      <c r="J7" s="17">
        <v>1</v>
      </c>
    </row>
    <row r="8" spans="1:10" x14ac:dyDescent="0.25">
      <c r="A8" s="16" t="s">
        <v>2</v>
      </c>
      <c r="B8" s="36">
        <v>3</v>
      </c>
      <c r="C8" s="36">
        <v>0</v>
      </c>
      <c r="D8" s="36">
        <v>0</v>
      </c>
      <c r="E8" s="36">
        <v>1</v>
      </c>
      <c r="F8" s="36">
        <v>2</v>
      </c>
      <c r="G8" s="36">
        <v>0</v>
      </c>
      <c r="H8" s="29">
        <v>6</v>
      </c>
      <c r="I8" s="3">
        <v>0</v>
      </c>
      <c r="J8" s="17">
        <v>6</v>
      </c>
    </row>
    <row r="9" spans="1:10" x14ac:dyDescent="0.25">
      <c r="A9" s="16" t="s">
        <v>3</v>
      </c>
      <c r="B9" s="36">
        <v>62</v>
      </c>
      <c r="C9" s="36">
        <v>32</v>
      </c>
      <c r="D9" s="36">
        <v>15</v>
      </c>
      <c r="E9" s="36">
        <v>3</v>
      </c>
      <c r="F9" s="36">
        <v>40</v>
      </c>
      <c r="G9" s="36">
        <v>26</v>
      </c>
      <c r="H9" s="29">
        <v>178</v>
      </c>
      <c r="I9" s="3">
        <v>1</v>
      </c>
      <c r="J9" s="17">
        <v>179</v>
      </c>
    </row>
    <row r="10" spans="1:10" x14ac:dyDescent="0.25">
      <c r="A10" s="16" t="s">
        <v>4</v>
      </c>
      <c r="B10" s="36">
        <v>168</v>
      </c>
      <c r="C10" s="36">
        <v>78</v>
      </c>
      <c r="D10" s="36">
        <v>34</v>
      </c>
      <c r="E10" s="36">
        <v>8</v>
      </c>
      <c r="F10" s="36">
        <v>133</v>
      </c>
      <c r="G10" s="36">
        <v>58</v>
      </c>
      <c r="H10" s="29">
        <v>479</v>
      </c>
      <c r="I10" s="3">
        <v>0</v>
      </c>
      <c r="J10" s="17">
        <v>479</v>
      </c>
    </row>
    <row r="11" spans="1:10" x14ac:dyDescent="0.25">
      <c r="A11" s="16" t="s">
        <v>5</v>
      </c>
      <c r="B11" s="37">
        <v>1387</v>
      </c>
      <c r="C11" s="37">
        <v>1871</v>
      </c>
      <c r="D11" s="37">
        <v>1196</v>
      </c>
      <c r="E11" s="36">
        <v>291</v>
      </c>
      <c r="F11" s="37">
        <v>1009</v>
      </c>
      <c r="G11" s="37">
        <v>998</v>
      </c>
      <c r="H11" s="29">
        <v>6752</v>
      </c>
      <c r="I11" s="3">
        <v>29</v>
      </c>
      <c r="J11" s="17">
        <v>6781</v>
      </c>
    </row>
    <row r="12" spans="1:10" x14ac:dyDescent="0.25">
      <c r="A12" s="16" t="s">
        <v>6</v>
      </c>
      <c r="B12" s="37">
        <v>3540</v>
      </c>
      <c r="C12" s="37">
        <v>5070</v>
      </c>
      <c r="D12" s="37">
        <v>3122</v>
      </c>
      <c r="E12" s="36">
        <v>738</v>
      </c>
      <c r="F12" s="37">
        <v>3975</v>
      </c>
      <c r="G12" s="37">
        <v>3879</v>
      </c>
      <c r="H12" s="29">
        <v>20324</v>
      </c>
      <c r="I12" s="3">
        <v>148</v>
      </c>
      <c r="J12" s="17">
        <v>20472</v>
      </c>
    </row>
    <row r="13" spans="1:10" x14ac:dyDescent="0.25">
      <c r="A13" s="16" t="s">
        <v>7</v>
      </c>
      <c r="B13" s="37">
        <v>6600</v>
      </c>
      <c r="C13" s="37">
        <v>7621</v>
      </c>
      <c r="D13" s="37">
        <v>4773</v>
      </c>
      <c r="E13" s="37">
        <v>1292</v>
      </c>
      <c r="F13" s="37">
        <v>4287</v>
      </c>
      <c r="G13" s="37">
        <v>5054</v>
      </c>
      <c r="H13" s="29">
        <v>29627</v>
      </c>
      <c r="I13" s="3">
        <v>304</v>
      </c>
      <c r="J13" s="17">
        <v>29931</v>
      </c>
    </row>
    <row r="14" spans="1:10" x14ac:dyDescent="0.25">
      <c r="A14" s="16" t="s">
        <v>8</v>
      </c>
      <c r="B14" s="37">
        <v>10583</v>
      </c>
      <c r="C14" s="37">
        <v>11670</v>
      </c>
      <c r="D14" s="37">
        <v>3920</v>
      </c>
      <c r="E14" s="37">
        <v>1245</v>
      </c>
      <c r="F14" s="37">
        <v>3449</v>
      </c>
      <c r="G14" s="37">
        <v>2710</v>
      </c>
      <c r="H14" s="29">
        <v>33577</v>
      </c>
      <c r="I14" s="3">
        <v>379</v>
      </c>
      <c r="J14" s="17">
        <v>33956</v>
      </c>
    </row>
    <row r="15" spans="1:10" x14ac:dyDescent="0.25">
      <c r="A15" s="16" t="s">
        <v>9</v>
      </c>
      <c r="B15" s="37">
        <v>8808</v>
      </c>
      <c r="C15" s="37">
        <v>5805</v>
      </c>
      <c r="D15" s="36">
        <v>687</v>
      </c>
      <c r="E15" s="36">
        <v>294</v>
      </c>
      <c r="F15" s="37">
        <v>1207</v>
      </c>
      <c r="G15" s="36">
        <v>613</v>
      </c>
      <c r="H15" s="29">
        <v>17414</v>
      </c>
      <c r="I15" s="3">
        <v>77</v>
      </c>
      <c r="J15" s="17">
        <v>17491</v>
      </c>
    </row>
    <row r="16" spans="1:10" x14ac:dyDescent="0.25">
      <c r="A16" s="16" t="s">
        <v>10</v>
      </c>
      <c r="B16" s="37">
        <v>5557</v>
      </c>
      <c r="C16" s="37">
        <v>2177</v>
      </c>
      <c r="D16" s="36">
        <v>384</v>
      </c>
      <c r="E16" s="36">
        <v>272</v>
      </c>
      <c r="F16" s="37">
        <v>993</v>
      </c>
      <c r="G16" s="36">
        <v>319</v>
      </c>
      <c r="H16" s="29">
        <v>9702</v>
      </c>
      <c r="I16" s="3">
        <v>33</v>
      </c>
      <c r="J16" s="17">
        <v>9735</v>
      </c>
    </row>
    <row r="17" spans="1:10" x14ac:dyDescent="0.25">
      <c r="A17" s="16" t="s">
        <v>11</v>
      </c>
      <c r="B17" s="36">
        <v>392</v>
      </c>
      <c r="C17" s="36">
        <v>107</v>
      </c>
      <c r="D17" s="36">
        <v>3</v>
      </c>
      <c r="E17" s="36">
        <v>16</v>
      </c>
      <c r="F17" s="36">
        <v>0</v>
      </c>
      <c r="G17" s="36">
        <v>0</v>
      </c>
      <c r="H17" s="29">
        <v>518</v>
      </c>
      <c r="I17" s="3">
        <v>0</v>
      </c>
      <c r="J17" s="17">
        <v>518</v>
      </c>
    </row>
    <row r="18" spans="1:10" x14ac:dyDescent="0.25">
      <c r="A18" s="16" t="s">
        <v>12</v>
      </c>
      <c r="B18" s="37">
        <v>1351</v>
      </c>
      <c r="C18" s="36">
        <v>520</v>
      </c>
      <c r="D18" s="36">
        <v>19</v>
      </c>
      <c r="E18" s="36">
        <v>31</v>
      </c>
      <c r="F18" s="36">
        <v>0</v>
      </c>
      <c r="G18" s="36">
        <v>0</v>
      </c>
      <c r="H18" s="29">
        <v>1921</v>
      </c>
      <c r="I18" s="3">
        <v>28</v>
      </c>
      <c r="J18" s="17">
        <v>1949</v>
      </c>
    </row>
    <row r="19" spans="1:10" x14ac:dyDescent="0.25">
      <c r="A19" s="16" t="s">
        <v>13</v>
      </c>
      <c r="B19" s="37">
        <v>2223</v>
      </c>
      <c r="C19" s="36">
        <v>1063</v>
      </c>
      <c r="D19" s="36">
        <v>36</v>
      </c>
      <c r="E19" s="36">
        <v>79</v>
      </c>
      <c r="F19" s="36">
        <v>0</v>
      </c>
      <c r="G19" s="36">
        <v>0</v>
      </c>
      <c r="H19" s="29">
        <v>3401</v>
      </c>
      <c r="I19" s="3">
        <v>52</v>
      </c>
      <c r="J19" s="17">
        <v>3453</v>
      </c>
    </row>
    <row r="20" spans="1:10" x14ac:dyDescent="0.25">
      <c r="A20" s="16" t="s">
        <v>14</v>
      </c>
      <c r="B20" s="37">
        <v>3271</v>
      </c>
      <c r="C20" s="37">
        <v>1321</v>
      </c>
      <c r="D20" s="36">
        <v>32</v>
      </c>
      <c r="E20" s="36">
        <v>80</v>
      </c>
      <c r="F20" s="36">
        <v>0</v>
      </c>
      <c r="G20" s="36">
        <v>0</v>
      </c>
      <c r="H20" s="29">
        <v>4704</v>
      </c>
      <c r="I20" s="3">
        <v>42</v>
      </c>
      <c r="J20" s="17">
        <v>4746</v>
      </c>
    </row>
    <row r="21" spans="1:10" x14ac:dyDescent="0.25">
      <c r="A21" s="16" t="s">
        <v>15</v>
      </c>
      <c r="B21" s="37">
        <v>1306</v>
      </c>
      <c r="C21" s="36">
        <v>432</v>
      </c>
      <c r="D21" s="36">
        <v>0</v>
      </c>
      <c r="E21" s="36">
        <v>52</v>
      </c>
      <c r="F21" s="36">
        <v>0</v>
      </c>
      <c r="G21" s="36">
        <v>0</v>
      </c>
      <c r="H21" s="29">
        <v>1790</v>
      </c>
      <c r="I21" s="3">
        <v>0</v>
      </c>
      <c r="J21" s="17">
        <v>1790</v>
      </c>
    </row>
    <row r="22" spans="1:10" x14ac:dyDescent="0.25">
      <c r="A22" s="16" t="s">
        <v>44</v>
      </c>
      <c r="B22" s="36">
        <v>1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29">
        <v>1</v>
      </c>
      <c r="I22" s="3">
        <v>0</v>
      </c>
      <c r="J22" s="17">
        <v>1</v>
      </c>
    </row>
    <row r="23" spans="1:10" ht="15.75" thickBot="1" x14ac:dyDescent="0.3">
      <c r="A23" s="18"/>
      <c r="B23" s="6"/>
      <c r="C23" s="7"/>
      <c r="D23" s="7"/>
      <c r="E23" s="7"/>
      <c r="F23" s="7"/>
      <c r="G23" s="25"/>
      <c r="H23" s="30"/>
      <c r="I23" s="6" t="s">
        <v>38</v>
      </c>
      <c r="J23" s="19"/>
    </row>
    <row r="24" spans="1:10" ht="24.95" customHeight="1" thickBot="1" x14ac:dyDescent="0.3">
      <c r="A24" s="20" t="s">
        <v>16</v>
      </c>
      <c r="B24" s="31">
        <f>SUM(B7:B22)</f>
        <v>45252</v>
      </c>
      <c r="C24" s="31">
        <f>SUM(C7:C22)</f>
        <v>37767</v>
      </c>
      <c r="D24" s="31">
        <f>SUM(D7:D22)</f>
        <v>14221</v>
      </c>
      <c r="E24" s="31">
        <f>SUM(E7:E22)</f>
        <v>4402</v>
      </c>
      <c r="F24" s="31">
        <f>SUM(F7:F22)</f>
        <v>15096</v>
      </c>
      <c r="G24" s="31">
        <f>SUM(G7:G22)</f>
        <v>13657</v>
      </c>
      <c r="H24" s="31">
        <f>SUM(H7:H22)</f>
        <v>130395</v>
      </c>
      <c r="I24" s="31">
        <f>SUM(I7:I22)</f>
        <v>1093</v>
      </c>
      <c r="J24" s="32">
        <f>SUM(J7:J22)</f>
        <v>131488</v>
      </c>
    </row>
    <row r="25" spans="1:10" x14ac:dyDescent="0.25">
      <c r="A25" s="16" t="s">
        <v>17</v>
      </c>
      <c r="B25" s="4">
        <v>2048</v>
      </c>
      <c r="C25" s="5">
        <v>1528</v>
      </c>
      <c r="D25" s="5">
        <v>361</v>
      </c>
      <c r="E25" s="5">
        <v>173</v>
      </c>
      <c r="F25" s="5">
        <v>1943</v>
      </c>
      <c r="G25" s="23">
        <v>950</v>
      </c>
      <c r="H25" s="29">
        <v>7003</v>
      </c>
      <c r="I25" s="4">
        <v>67</v>
      </c>
      <c r="J25" s="21">
        <v>7070</v>
      </c>
    </row>
    <row r="26" spans="1:10" x14ac:dyDescent="0.25">
      <c r="A26" s="16" t="s">
        <v>18</v>
      </c>
      <c r="B26" s="3">
        <v>7177</v>
      </c>
      <c r="C26" s="2">
        <v>5618</v>
      </c>
      <c r="D26" s="2">
        <v>924</v>
      </c>
      <c r="E26" s="2">
        <v>515</v>
      </c>
      <c r="F26" s="2">
        <v>4439</v>
      </c>
      <c r="G26" s="24">
        <v>2890</v>
      </c>
      <c r="H26" s="29">
        <v>21563</v>
      </c>
      <c r="I26" s="3">
        <v>130</v>
      </c>
      <c r="J26" s="21">
        <v>21693</v>
      </c>
    </row>
    <row r="27" spans="1:10" x14ac:dyDescent="0.25">
      <c r="A27" s="16" t="s">
        <v>19</v>
      </c>
      <c r="B27" s="3">
        <v>19611</v>
      </c>
      <c r="C27" s="2">
        <v>14432</v>
      </c>
      <c r="D27" s="2">
        <v>3763</v>
      </c>
      <c r="E27" s="2">
        <v>1064</v>
      </c>
      <c r="F27" s="2">
        <v>15200</v>
      </c>
      <c r="G27" s="24">
        <v>8272</v>
      </c>
      <c r="H27" s="29">
        <v>62342</v>
      </c>
      <c r="I27" s="3">
        <v>664</v>
      </c>
      <c r="J27" s="21">
        <v>63006</v>
      </c>
    </row>
    <row r="28" spans="1:10" x14ac:dyDescent="0.25">
      <c r="A28" s="16" t="s">
        <v>20</v>
      </c>
      <c r="B28" s="3">
        <v>37110</v>
      </c>
      <c r="C28" s="2">
        <v>19747</v>
      </c>
      <c r="D28" s="2">
        <v>10438</v>
      </c>
      <c r="E28" s="2">
        <v>2020</v>
      </c>
      <c r="F28" s="2">
        <v>18742</v>
      </c>
      <c r="G28" s="24">
        <v>12060</v>
      </c>
      <c r="H28" s="29">
        <v>100117</v>
      </c>
      <c r="I28" s="3">
        <v>1496</v>
      </c>
      <c r="J28" s="21">
        <v>101613</v>
      </c>
    </row>
    <row r="29" spans="1:10" x14ac:dyDescent="0.25">
      <c r="A29" s="16" t="s">
        <v>21</v>
      </c>
      <c r="B29" s="3">
        <v>62485</v>
      </c>
      <c r="C29" s="2">
        <v>33935</v>
      </c>
      <c r="D29" s="2">
        <v>13773</v>
      </c>
      <c r="E29" s="2">
        <v>4664</v>
      </c>
      <c r="F29" s="2">
        <v>20156</v>
      </c>
      <c r="G29" s="24">
        <v>12072</v>
      </c>
      <c r="H29" s="29">
        <v>147085</v>
      </c>
      <c r="I29" s="3">
        <v>1694</v>
      </c>
      <c r="J29" s="21">
        <v>148779</v>
      </c>
    </row>
    <row r="30" spans="1:10" x14ac:dyDescent="0.25">
      <c r="A30" s="16" t="s">
        <v>22</v>
      </c>
      <c r="B30" s="3">
        <v>100521</v>
      </c>
      <c r="C30" s="2">
        <v>55139</v>
      </c>
      <c r="D30" s="2">
        <v>8160</v>
      </c>
      <c r="E30" s="2">
        <v>6253</v>
      </c>
      <c r="F30" s="2">
        <v>15744</v>
      </c>
      <c r="G30" s="24">
        <v>13133</v>
      </c>
      <c r="H30" s="29">
        <v>198950</v>
      </c>
      <c r="I30" s="3">
        <v>1176</v>
      </c>
      <c r="J30" s="21">
        <v>200126</v>
      </c>
    </row>
    <row r="31" spans="1:10" x14ac:dyDescent="0.25">
      <c r="A31" s="16" t="s">
        <v>23</v>
      </c>
      <c r="B31" s="3">
        <v>36189</v>
      </c>
      <c r="C31" s="2">
        <v>16130</v>
      </c>
      <c r="D31" s="2">
        <v>3994</v>
      </c>
      <c r="E31" s="2">
        <v>14601</v>
      </c>
      <c r="F31" s="2">
        <v>12139</v>
      </c>
      <c r="G31" s="24">
        <v>3480</v>
      </c>
      <c r="H31" s="29">
        <v>86533</v>
      </c>
      <c r="I31" s="3">
        <v>88</v>
      </c>
      <c r="J31" s="21">
        <v>86621</v>
      </c>
    </row>
    <row r="32" spans="1:10" x14ac:dyDescent="0.25">
      <c r="A32" s="16" t="s">
        <v>24</v>
      </c>
      <c r="B32" s="3">
        <v>17504</v>
      </c>
      <c r="C32" s="2">
        <v>7415</v>
      </c>
      <c r="D32" s="2">
        <v>1463</v>
      </c>
      <c r="E32" s="2">
        <v>3719</v>
      </c>
      <c r="F32" s="2">
        <v>497</v>
      </c>
      <c r="G32" s="24">
        <v>737</v>
      </c>
      <c r="H32" s="29">
        <v>31335</v>
      </c>
      <c r="I32" s="3">
        <v>1</v>
      </c>
      <c r="J32" s="21">
        <v>31336</v>
      </c>
    </row>
    <row r="33" spans="1:10" x14ac:dyDescent="0.25">
      <c r="A33" s="16" t="s">
        <v>25</v>
      </c>
      <c r="B33" s="2">
        <v>13570</v>
      </c>
      <c r="C33" s="2">
        <v>7354</v>
      </c>
      <c r="D33" s="2">
        <v>1021</v>
      </c>
      <c r="E33" s="2">
        <v>1151</v>
      </c>
      <c r="F33" s="2">
        <v>1065</v>
      </c>
      <c r="G33" s="24">
        <v>1020</v>
      </c>
      <c r="H33" s="29">
        <v>25181</v>
      </c>
      <c r="I33" s="3">
        <v>0</v>
      </c>
      <c r="J33" s="21">
        <v>25181</v>
      </c>
    </row>
    <row r="34" spans="1:10" x14ac:dyDescent="0.25">
      <c r="A34" s="16" t="s">
        <v>43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41">
        <v>0</v>
      </c>
      <c r="H34" s="29">
        <v>0</v>
      </c>
      <c r="I34" s="3">
        <v>0</v>
      </c>
      <c r="J34" s="21">
        <v>0</v>
      </c>
    </row>
    <row r="35" spans="1:10" ht="15.75" thickBot="1" x14ac:dyDescent="0.3">
      <c r="A35" s="16"/>
      <c r="B35" s="8"/>
      <c r="C35" s="8"/>
      <c r="D35" s="8"/>
      <c r="E35" s="8"/>
      <c r="F35" s="8"/>
      <c r="G35" s="38"/>
      <c r="H35" s="40"/>
      <c r="I35" s="8"/>
      <c r="J35" s="39"/>
    </row>
    <row r="36" spans="1:10" ht="15.75" thickBot="1" x14ac:dyDescent="0.3">
      <c r="A36" s="20" t="s">
        <v>26</v>
      </c>
      <c r="B36" s="31">
        <f>SUM(B25:B34)</f>
        <v>296215</v>
      </c>
      <c r="C36" s="31">
        <f>SUM(C25:C34)</f>
        <v>161298</v>
      </c>
      <c r="D36" s="31">
        <f>SUM(D25:D34)</f>
        <v>43897</v>
      </c>
      <c r="E36" s="31">
        <f>SUM(E25:E34)</f>
        <v>34160</v>
      </c>
      <c r="F36" s="31">
        <f>SUM(F25:F34)</f>
        <v>89925</v>
      </c>
      <c r="G36" s="31">
        <f>SUM(G25:G34)</f>
        <v>54614</v>
      </c>
      <c r="H36" s="31">
        <f>SUM(H25:H34)</f>
        <v>680109</v>
      </c>
      <c r="I36" s="31">
        <f>SUM(I25:I34)</f>
        <v>5316</v>
      </c>
      <c r="J36" s="32">
        <f>SUM(J25:J34)</f>
        <v>685425</v>
      </c>
    </row>
    <row r="37" spans="1:10" ht="16.5" thickTop="1" thickBot="1" x14ac:dyDescent="0.3">
      <c r="A37" s="9" t="s">
        <v>27</v>
      </c>
      <c r="B37" s="33">
        <f>SUM(B24,B36)</f>
        <v>341467</v>
      </c>
      <c r="C37" s="33">
        <f>SUM(C24,C36)</f>
        <v>199065</v>
      </c>
      <c r="D37" s="33">
        <f>SUM(D24,D36)</f>
        <v>58118</v>
      </c>
      <c r="E37" s="33">
        <f>SUM(E24,E36)</f>
        <v>38562</v>
      </c>
      <c r="F37" s="33">
        <f>SUM(F24,F36)</f>
        <v>105021</v>
      </c>
      <c r="G37" s="34">
        <f>SUM(G24,G36)</f>
        <v>68271</v>
      </c>
      <c r="H37" s="27">
        <f>SUM(H24,H36)</f>
        <v>810504</v>
      </c>
      <c r="I37" s="33">
        <f>SUM(I24,I36)</f>
        <v>6409</v>
      </c>
      <c r="J37" s="35">
        <f>SUM(J24,J36)</f>
        <v>816913</v>
      </c>
    </row>
    <row r="38" spans="1:10" ht="15.75" thickTop="1" x14ac:dyDescent="0.25">
      <c r="B38" s="10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2" width="15.85546875" customWidth="1"/>
    <col min="3" max="10" width="15.7109375" customWidth="1"/>
  </cols>
  <sheetData>
    <row r="1" spans="1:10" ht="19.5" thickTop="1" x14ac:dyDescent="0.3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75" x14ac:dyDescent="0.3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75" x14ac:dyDescent="0.3">
      <c r="A3" s="48" t="s">
        <v>49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.5" thickBot="1" x14ac:dyDescent="0.3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.75" thickBot="1" x14ac:dyDescent="0.3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1" customFormat="1" ht="30.75" thickBot="1" x14ac:dyDescent="0.3">
      <c r="A6" s="14" t="s">
        <v>0</v>
      </c>
      <c r="B6" s="12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22" t="s">
        <v>35</v>
      </c>
      <c r="H6" s="28" t="s">
        <v>36</v>
      </c>
      <c r="I6" s="26" t="s">
        <v>39</v>
      </c>
      <c r="J6" s="15" t="s">
        <v>37</v>
      </c>
    </row>
    <row r="7" spans="1:10" ht="15.75" thickTop="1" x14ac:dyDescent="0.25">
      <c r="A7" s="16" t="s">
        <v>1</v>
      </c>
      <c r="B7" s="36">
        <v>0</v>
      </c>
      <c r="C7" s="36">
        <v>0</v>
      </c>
      <c r="D7" s="36">
        <v>0</v>
      </c>
      <c r="E7" s="36">
        <v>0</v>
      </c>
      <c r="F7" s="36">
        <v>1</v>
      </c>
      <c r="G7" s="36">
        <v>0</v>
      </c>
      <c r="H7" s="29">
        <v>1</v>
      </c>
      <c r="I7" s="4">
        <v>0</v>
      </c>
      <c r="J7" s="17">
        <v>1</v>
      </c>
    </row>
    <row r="8" spans="1:10" x14ac:dyDescent="0.25">
      <c r="A8" s="16" t="s">
        <v>2</v>
      </c>
      <c r="B8" s="36">
        <v>3</v>
      </c>
      <c r="C8" s="36">
        <v>0</v>
      </c>
      <c r="D8" s="36">
        <v>0</v>
      </c>
      <c r="E8" s="36">
        <v>1</v>
      </c>
      <c r="F8" s="36">
        <v>2</v>
      </c>
      <c r="G8" s="36">
        <v>0</v>
      </c>
      <c r="H8" s="29">
        <v>6</v>
      </c>
      <c r="I8" s="3">
        <v>0</v>
      </c>
      <c r="J8" s="17">
        <v>6</v>
      </c>
    </row>
    <row r="9" spans="1:10" x14ac:dyDescent="0.25">
      <c r="A9" s="16" t="s">
        <v>3</v>
      </c>
      <c r="B9" s="36">
        <v>63</v>
      </c>
      <c r="C9" s="36">
        <v>32</v>
      </c>
      <c r="D9" s="36">
        <v>15</v>
      </c>
      <c r="E9" s="36">
        <v>3</v>
      </c>
      <c r="F9" s="36">
        <v>39</v>
      </c>
      <c r="G9" s="36">
        <v>26</v>
      </c>
      <c r="H9" s="29">
        <v>178</v>
      </c>
      <c r="I9" s="3">
        <v>1</v>
      </c>
      <c r="J9" s="17">
        <v>179</v>
      </c>
    </row>
    <row r="10" spans="1:10" x14ac:dyDescent="0.25">
      <c r="A10" s="16" t="s">
        <v>4</v>
      </c>
      <c r="B10" s="36">
        <v>167</v>
      </c>
      <c r="C10" s="36">
        <v>77</v>
      </c>
      <c r="D10" s="36">
        <v>33</v>
      </c>
      <c r="E10" s="36">
        <v>8</v>
      </c>
      <c r="F10" s="36">
        <v>132</v>
      </c>
      <c r="G10" s="36">
        <v>59</v>
      </c>
      <c r="H10" s="29">
        <v>476</v>
      </c>
      <c r="I10" s="3">
        <v>0</v>
      </c>
      <c r="J10" s="17">
        <v>476</v>
      </c>
    </row>
    <row r="11" spans="1:10" x14ac:dyDescent="0.25">
      <c r="A11" s="16" t="s">
        <v>5</v>
      </c>
      <c r="B11" s="37">
        <v>1381</v>
      </c>
      <c r="C11" s="37">
        <v>1874</v>
      </c>
      <c r="D11" s="37">
        <v>1200</v>
      </c>
      <c r="E11" s="36">
        <v>285</v>
      </c>
      <c r="F11" s="37">
        <v>1008</v>
      </c>
      <c r="G11" s="37">
        <v>994</v>
      </c>
      <c r="H11" s="29">
        <v>6742</v>
      </c>
      <c r="I11" s="3">
        <v>29</v>
      </c>
      <c r="J11" s="17">
        <v>6771</v>
      </c>
    </row>
    <row r="12" spans="1:10" x14ac:dyDescent="0.25">
      <c r="A12" s="16" t="s">
        <v>6</v>
      </c>
      <c r="B12" s="37">
        <v>3536</v>
      </c>
      <c r="C12" s="37">
        <v>5074</v>
      </c>
      <c r="D12" s="37">
        <v>3135</v>
      </c>
      <c r="E12" s="36">
        <v>746</v>
      </c>
      <c r="F12" s="37">
        <v>3975</v>
      </c>
      <c r="G12" s="37">
        <v>3850</v>
      </c>
      <c r="H12" s="29">
        <v>20316</v>
      </c>
      <c r="I12" s="3">
        <v>147</v>
      </c>
      <c r="J12" s="17">
        <v>20463</v>
      </c>
    </row>
    <row r="13" spans="1:10" x14ac:dyDescent="0.25">
      <c r="A13" s="16" t="s">
        <v>7</v>
      </c>
      <c r="B13" s="37">
        <v>6589</v>
      </c>
      <c r="C13" s="37">
        <v>7666</v>
      </c>
      <c r="D13" s="37">
        <v>4787</v>
      </c>
      <c r="E13" s="37">
        <v>1299</v>
      </c>
      <c r="F13" s="37">
        <v>4282</v>
      </c>
      <c r="G13" s="37">
        <v>5049</v>
      </c>
      <c r="H13" s="29">
        <v>29672</v>
      </c>
      <c r="I13" s="3">
        <v>302</v>
      </c>
      <c r="J13" s="17">
        <v>29974</v>
      </c>
    </row>
    <row r="14" spans="1:10" x14ac:dyDescent="0.25">
      <c r="A14" s="16" t="s">
        <v>8</v>
      </c>
      <c r="B14" s="37">
        <v>10532</v>
      </c>
      <c r="C14" s="37">
        <v>11716</v>
      </c>
      <c r="D14" s="37">
        <v>3905</v>
      </c>
      <c r="E14" s="37">
        <v>1233</v>
      </c>
      <c r="F14" s="37">
        <v>3507</v>
      </c>
      <c r="G14" s="37">
        <v>2762</v>
      </c>
      <c r="H14" s="29">
        <v>33655</v>
      </c>
      <c r="I14" s="3">
        <v>377</v>
      </c>
      <c r="J14" s="17">
        <v>34032</v>
      </c>
    </row>
    <row r="15" spans="1:10" x14ac:dyDescent="0.25">
      <c r="A15" s="16" t="s">
        <v>9</v>
      </c>
      <c r="B15" s="37">
        <v>8755</v>
      </c>
      <c r="C15" s="37">
        <v>5990</v>
      </c>
      <c r="D15" s="36">
        <v>680</v>
      </c>
      <c r="E15" s="36">
        <v>327</v>
      </c>
      <c r="F15" s="37">
        <v>1189</v>
      </c>
      <c r="G15" s="36">
        <v>601</v>
      </c>
      <c r="H15" s="29">
        <v>17542</v>
      </c>
      <c r="I15" s="3">
        <v>76</v>
      </c>
      <c r="J15" s="17">
        <v>17618</v>
      </c>
    </row>
    <row r="16" spans="1:10" x14ac:dyDescent="0.25">
      <c r="A16" s="16" t="s">
        <v>10</v>
      </c>
      <c r="B16" s="37">
        <v>5616</v>
      </c>
      <c r="C16" s="37">
        <v>2054</v>
      </c>
      <c r="D16" s="36">
        <v>396</v>
      </c>
      <c r="E16" s="36">
        <v>275</v>
      </c>
      <c r="F16" s="37">
        <v>981</v>
      </c>
      <c r="G16" s="36">
        <v>336</v>
      </c>
      <c r="H16" s="29">
        <v>9658</v>
      </c>
      <c r="I16" s="3">
        <v>33</v>
      </c>
      <c r="J16" s="17">
        <v>9691</v>
      </c>
    </row>
    <row r="17" spans="1:10" x14ac:dyDescent="0.25">
      <c r="A17" s="16" t="s">
        <v>11</v>
      </c>
      <c r="B17" s="36">
        <v>1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29">
        <v>1</v>
      </c>
      <c r="I17" s="3">
        <v>0</v>
      </c>
      <c r="J17" s="17">
        <v>1</v>
      </c>
    </row>
    <row r="18" spans="1:10" x14ac:dyDescent="0.25">
      <c r="A18" s="16" t="s">
        <v>12</v>
      </c>
      <c r="B18" s="37">
        <v>388</v>
      </c>
      <c r="C18" s="36">
        <v>107</v>
      </c>
      <c r="D18" s="36">
        <v>3</v>
      </c>
      <c r="E18" s="36">
        <v>14</v>
      </c>
      <c r="F18" s="36">
        <v>0</v>
      </c>
      <c r="G18" s="36">
        <v>0</v>
      </c>
      <c r="H18" s="29">
        <v>512</v>
      </c>
      <c r="I18" s="3">
        <v>0</v>
      </c>
      <c r="J18" s="17">
        <v>512</v>
      </c>
    </row>
    <row r="19" spans="1:10" x14ac:dyDescent="0.25">
      <c r="A19" s="16" t="s">
        <v>13</v>
      </c>
      <c r="B19" s="37">
        <v>1341</v>
      </c>
      <c r="C19" s="36">
        <v>526</v>
      </c>
      <c r="D19" s="36">
        <v>19</v>
      </c>
      <c r="E19" s="36">
        <v>33</v>
      </c>
      <c r="F19" s="36">
        <v>0</v>
      </c>
      <c r="G19" s="36">
        <v>0</v>
      </c>
      <c r="H19" s="29">
        <v>1919</v>
      </c>
      <c r="I19" s="3">
        <v>28</v>
      </c>
      <c r="J19" s="17">
        <v>1947</v>
      </c>
    </row>
    <row r="20" spans="1:10" x14ac:dyDescent="0.25">
      <c r="A20" s="16" t="s">
        <v>14</v>
      </c>
      <c r="B20" s="37">
        <v>2207</v>
      </c>
      <c r="C20" s="37">
        <v>1059</v>
      </c>
      <c r="D20" s="36">
        <v>35</v>
      </c>
      <c r="E20" s="36">
        <v>77</v>
      </c>
      <c r="F20" s="36">
        <v>0</v>
      </c>
      <c r="G20" s="36">
        <v>0</v>
      </c>
      <c r="H20" s="29">
        <v>3378</v>
      </c>
      <c r="I20" s="3">
        <v>51</v>
      </c>
      <c r="J20" s="17">
        <v>3429</v>
      </c>
    </row>
    <row r="21" spans="1:10" x14ac:dyDescent="0.25">
      <c r="A21" s="16" t="s">
        <v>15</v>
      </c>
      <c r="B21" s="37">
        <v>3385</v>
      </c>
      <c r="C21" s="37">
        <v>1317</v>
      </c>
      <c r="D21" s="36">
        <v>32</v>
      </c>
      <c r="E21" s="36">
        <v>80</v>
      </c>
      <c r="F21" s="36">
        <v>0</v>
      </c>
      <c r="G21" s="36">
        <v>0</v>
      </c>
      <c r="H21" s="29">
        <v>4814</v>
      </c>
      <c r="I21" s="3">
        <v>43</v>
      </c>
      <c r="J21" s="17">
        <v>4857</v>
      </c>
    </row>
    <row r="22" spans="1:10" x14ac:dyDescent="0.25">
      <c r="A22" s="16" t="s">
        <v>44</v>
      </c>
      <c r="B22" s="37">
        <v>1229</v>
      </c>
      <c r="C22" s="36">
        <v>448</v>
      </c>
      <c r="D22" s="36">
        <v>0</v>
      </c>
      <c r="E22" s="36">
        <v>53</v>
      </c>
      <c r="F22" s="36">
        <v>0</v>
      </c>
      <c r="G22" s="36">
        <v>0</v>
      </c>
      <c r="H22" s="29">
        <v>1730</v>
      </c>
      <c r="I22" s="3">
        <v>0</v>
      </c>
      <c r="J22" s="17">
        <v>1730</v>
      </c>
    </row>
    <row r="23" spans="1:10" ht="15.75" thickBot="1" x14ac:dyDescent="0.3">
      <c r="A23" s="18"/>
      <c r="B23" s="6"/>
      <c r="C23" s="7"/>
      <c r="D23" s="7"/>
      <c r="E23" s="7"/>
      <c r="F23" s="7"/>
      <c r="G23" s="25"/>
      <c r="H23" s="30"/>
      <c r="I23" s="6" t="s">
        <v>38</v>
      </c>
      <c r="J23" s="19"/>
    </row>
    <row r="24" spans="1:10" ht="24.95" customHeight="1" thickBot="1" x14ac:dyDescent="0.3">
      <c r="A24" s="20" t="s">
        <v>16</v>
      </c>
      <c r="B24" s="31">
        <f>SUM(B7:B22)</f>
        <v>45193</v>
      </c>
      <c r="C24" s="31">
        <f>SUM(C7:C22)</f>
        <v>37940</v>
      </c>
      <c r="D24" s="31">
        <f>SUM(D7:D22)</f>
        <v>14240</v>
      </c>
      <c r="E24" s="31">
        <f>SUM(E7:E22)</f>
        <v>4434</v>
      </c>
      <c r="F24" s="31">
        <f>SUM(F7:F22)</f>
        <v>15116</v>
      </c>
      <c r="G24" s="31">
        <f>SUM(G7:G22)</f>
        <v>13677</v>
      </c>
      <c r="H24" s="31">
        <f>SUM(H7:H22)</f>
        <v>130600</v>
      </c>
      <c r="I24" s="31">
        <f>SUM(I7:I22)</f>
        <v>1087</v>
      </c>
      <c r="J24" s="32">
        <f>SUM(J7:J22)</f>
        <v>131687</v>
      </c>
    </row>
    <row r="25" spans="1:10" x14ac:dyDescent="0.25">
      <c r="A25" s="16" t="s">
        <v>17</v>
      </c>
      <c r="B25" s="4">
        <v>2045</v>
      </c>
      <c r="C25" s="5">
        <v>1532</v>
      </c>
      <c r="D25" s="5">
        <v>356</v>
      </c>
      <c r="E25" s="5">
        <v>174</v>
      </c>
      <c r="F25" s="5">
        <v>1953</v>
      </c>
      <c r="G25" s="23">
        <v>955</v>
      </c>
      <c r="H25" s="29">
        <v>7015</v>
      </c>
      <c r="I25" s="4">
        <v>69</v>
      </c>
      <c r="J25" s="21">
        <v>7084</v>
      </c>
    </row>
    <row r="26" spans="1:10" x14ac:dyDescent="0.25">
      <c r="A26" s="16" t="s">
        <v>18</v>
      </c>
      <c r="B26" s="3">
        <v>7210</v>
      </c>
      <c r="C26" s="2">
        <v>5622</v>
      </c>
      <c r="D26" s="2">
        <v>934</v>
      </c>
      <c r="E26" s="2">
        <v>514</v>
      </c>
      <c r="F26" s="2">
        <v>4434</v>
      </c>
      <c r="G26" s="24">
        <v>2892</v>
      </c>
      <c r="H26" s="29">
        <v>21606</v>
      </c>
      <c r="I26" s="3">
        <v>127</v>
      </c>
      <c r="J26" s="21">
        <v>21733</v>
      </c>
    </row>
    <row r="27" spans="1:10" x14ac:dyDescent="0.25">
      <c r="A27" s="16" t="s">
        <v>19</v>
      </c>
      <c r="B27" s="3">
        <v>19512</v>
      </c>
      <c r="C27" s="2">
        <v>14333</v>
      </c>
      <c r="D27" s="2">
        <v>3787</v>
      </c>
      <c r="E27" s="2">
        <v>1068</v>
      </c>
      <c r="F27" s="2">
        <v>15199</v>
      </c>
      <c r="G27" s="24">
        <v>8297</v>
      </c>
      <c r="H27" s="29">
        <v>62196</v>
      </c>
      <c r="I27" s="3">
        <v>664</v>
      </c>
      <c r="J27" s="21">
        <v>62860</v>
      </c>
    </row>
    <row r="28" spans="1:10" x14ac:dyDescent="0.25">
      <c r="A28" s="16" t="s">
        <v>20</v>
      </c>
      <c r="B28" s="3">
        <v>36870</v>
      </c>
      <c r="C28" s="2">
        <v>19825</v>
      </c>
      <c r="D28" s="2">
        <v>10421</v>
      </c>
      <c r="E28" s="2">
        <v>1986</v>
      </c>
      <c r="F28" s="2">
        <v>18716</v>
      </c>
      <c r="G28" s="24">
        <v>12084</v>
      </c>
      <c r="H28" s="29">
        <v>99902</v>
      </c>
      <c r="I28" s="3">
        <v>1502</v>
      </c>
      <c r="J28" s="21">
        <v>101404</v>
      </c>
    </row>
    <row r="29" spans="1:10" x14ac:dyDescent="0.25">
      <c r="A29" s="16" t="s">
        <v>21</v>
      </c>
      <c r="B29" s="3">
        <v>62397</v>
      </c>
      <c r="C29" s="2">
        <v>33503</v>
      </c>
      <c r="D29" s="2">
        <v>13739</v>
      </c>
      <c r="E29" s="2">
        <v>4531</v>
      </c>
      <c r="F29" s="2">
        <v>20166</v>
      </c>
      <c r="G29" s="24">
        <v>12168</v>
      </c>
      <c r="H29" s="29">
        <v>146504</v>
      </c>
      <c r="I29" s="3">
        <v>1686</v>
      </c>
      <c r="J29" s="21">
        <v>148190</v>
      </c>
    </row>
    <row r="30" spans="1:10" x14ac:dyDescent="0.25">
      <c r="A30" s="16" t="s">
        <v>22</v>
      </c>
      <c r="B30" s="3">
        <v>101008</v>
      </c>
      <c r="C30" s="2">
        <v>55257</v>
      </c>
      <c r="D30" s="2">
        <v>8107</v>
      </c>
      <c r="E30" s="2">
        <v>6191</v>
      </c>
      <c r="F30" s="2">
        <v>15677</v>
      </c>
      <c r="G30" s="24">
        <v>12921</v>
      </c>
      <c r="H30" s="29">
        <v>199161</v>
      </c>
      <c r="I30" s="3">
        <v>1159</v>
      </c>
      <c r="J30" s="21">
        <v>200320</v>
      </c>
    </row>
    <row r="31" spans="1:10" x14ac:dyDescent="0.25">
      <c r="A31" s="16" t="s">
        <v>23</v>
      </c>
      <c r="B31" s="3">
        <v>36340</v>
      </c>
      <c r="C31" s="2">
        <v>15965</v>
      </c>
      <c r="D31" s="2">
        <v>3991</v>
      </c>
      <c r="E31" s="2">
        <v>14857</v>
      </c>
      <c r="F31" s="2">
        <v>11924</v>
      </c>
      <c r="G31" s="24">
        <v>3432</v>
      </c>
      <c r="H31" s="29">
        <v>86509</v>
      </c>
      <c r="I31" s="3">
        <v>103</v>
      </c>
      <c r="J31" s="21">
        <v>86612</v>
      </c>
    </row>
    <row r="32" spans="1:10" x14ac:dyDescent="0.25">
      <c r="A32" s="16" t="s">
        <v>24</v>
      </c>
      <c r="B32" s="3">
        <v>17316</v>
      </c>
      <c r="C32" s="2">
        <v>7381</v>
      </c>
      <c r="D32" s="2">
        <v>1440</v>
      </c>
      <c r="E32" s="2">
        <v>3390</v>
      </c>
      <c r="F32" s="2">
        <v>516</v>
      </c>
      <c r="G32" s="24">
        <v>730</v>
      </c>
      <c r="H32" s="29">
        <v>30773</v>
      </c>
      <c r="I32" s="3">
        <v>0</v>
      </c>
      <c r="J32" s="21">
        <v>30773</v>
      </c>
    </row>
    <row r="33" spans="1:10" x14ac:dyDescent="0.25">
      <c r="A33" s="16" t="s">
        <v>25</v>
      </c>
      <c r="B33" s="2">
        <v>13946</v>
      </c>
      <c r="C33" s="2">
        <v>7636</v>
      </c>
      <c r="D33" s="2">
        <v>1018</v>
      </c>
      <c r="E33" s="2">
        <v>1291</v>
      </c>
      <c r="F33" s="2">
        <v>1139</v>
      </c>
      <c r="G33" s="24">
        <v>1011</v>
      </c>
      <c r="H33" s="29">
        <v>26041</v>
      </c>
      <c r="I33" s="3">
        <v>0</v>
      </c>
      <c r="J33" s="21">
        <v>26041</v>
      </c>
    </row>
    <row r="34" spans="1:10" x14ac:dyDescent="0.25">
      <c r="A34" s="16" t="s">
        <v>43</v>
      </c>
      <c r="B34" s="2">
        <v>1</v>
      </c>
      <c r="C34" s="2">
        <v>0</v>
      </c>
      <c r="D34" s="2">
        <v>0</v>
      </c>
      <c r="E34" s="2">
        <v>0</v>
      </c>
      <c r="F34" s="2">
        <v>0</v>
      </c>
      <c r="G34" s="41">
        <v>0</v>
      </c>
      <c r="H34" s="29">
        <v>1</v>
      </c>
      <c r="I34" s="3">
        <v>0</v>
      </c>
      <c r="J34" s="21">
        <v>1</v>
      </c>
    </row>
    <row r="35" spans="1:10" ht="15.75" thickBot="1" x14ac:dyDescent="0.3">
      <c r="A35" s="16"/>
      <c r="B35" s="8"/>
      <c r="C35" s="8"/>
      <c r="D35" s="8"/>
      <c r="E35" s="8"/>
      <c r="F35" s="8"/>
      <c r="G35" s="38"/>
      <c r="H35" s="40"/>
      <c r="I35" s="8"/>
      <c r="J35" s="39"/>
    </row>
    <row r="36" spans="1:10" ht="15.75" thickBot="1" x14ac:dyDescent="0.3">
      <c r="A36" s="20" t="s">
        <v>26</v>
      </c>
      <c r="B36" s="31">
        <f>SUM(B25:B34)</f>
        <v>296645</v>
      </c>
      <c r="C36" s="31">
        <f>SUM(C25:C34)</f>
        <v>161054</v>
      </c>
      <c r="D36" s="31">
        <f>SUM(D25:D34)</f>
        <v>43793</v>
      </c>
      <c r="E36" s="31">
        <f>SUM(E25:E34)</f>
        <v>34002</v>
      </c>
      <c r="F36" s="31">
        <f>SUM(F25:F34)</f>
        <v>89724</v>
      </c>
      <c r="G36" s="31">
        <f>SUM(G25:G34)</f>
        <v>54490</v>
      </c>
      <c r="H36" s="31">
        <f>SUM(H25:H34)</f>
        <v>679708</v>
      </c>
      <c r="I36" s="31">
        <f>SUM(I25:I34)</f>
        <v>5310</v>
      </c>
      <c r="J36" s="32">
        <f>SUM(J25:J34)</f>
        <v>685018</v>
      </c>
    </row>
    <row r="37" spans="1:10" ht="16.5" thickTop="1" thickBot="1" x14ac:dyDescent="0.3">
      <c r="A37" s="9" t="s">
        <v>27</v>
      </c>
      <c r="B37" s="33">
        <f>SUM(B24,B36)</f>
        <v>341838</v>
      </c>
      <c r="C37" s="33">
        <f>SUM(C24,C36)</f>
        <v>198994</v>
      </c>
      <c r="D37" s="33">
        <f>SUM(D24,D36)</f>
        <v>58033</v>
      </c>
      <c r="E37" s="33">
        <f>SUM(E24,E36)</f>
        <v>38436</v>
      </c>
      <c r="F37" s="33">
        <f>SUM(F24,F36)</f>
        <v>104840</v>
      </c>
      <c r="G37" s="34">
        <f>SUM(G24,G36)</f>
        <v>68167</v>
      </c>
      <c r="H37" s="27">
        <f>SUM(H24,H36)</f>
        <v>810308</v>
      </c>
      <c r="I37" s="33">
        <f>SUM(I24,I36)</f>
        <v>6397</v>
      </c>
      <c r="J37" s="35">
        <f>SUM(J24,J36)</f>
        <v>816705</v>
      </c>
    </row>
    <row r="38" spans="1:10" ht="15.75" thickTop="1" x14ac:dyDescent="0.25">
      <c r="B38" s="10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2" width="15.85546875" customWidth="1"/>
    <col min="3" max="10" width="15.7109375" customWidth="1"/>
  </cols>
  <sheetData>
    <row r="1" spans="1:10" ht="19.5" thickTop="1" x14ac:dyDescent="0.3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75" x14ac:dyDescent="0.3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75" x14ac:dyDescent="0.3">
      <c r="A3" s="48" t="s">
        <v>48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.5" thickBot="1" x14ac:dyDescent="0.3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.75" thickBot="1" x14ac:dyDescent="0.3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1" customFormat="1" ht="30.75" thickBot="1" x14ac:dyDescent="0.3">
      <c r="A6" s="14" t="s">
        <v>0</v>
      </c>
      <c r="B6" s="12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22" t="s">
        <v>35</v>
      </c>
      <c r="H6" s="28" t="s">
        <v>36</v>
      </c>
      <c r="I6" s="26" t="s">
        <v>39</v>
      </c>
      <c r="J6" s="15" t="s">
        <v>37</v>
      </c>
    </row>
    <row r="7" spans="1:10" ht="15.75" thickTop="1" x14ac:dyDescent="0.25">
      <c r="A7" s="16" t="s">
        <v>1</v>
      </c>
      <c r="B7" s="36">
        <v>0</v>
      </c>
      <c r="C7" s="36">
        <v>0</v>
      </c>
      <c r="D7" s="36">
        <v>0</v>
      </c>
      <c r="E7" s="36">
        <v>0</v>
      </c>
      <c r="F7" s="36">
        <v>1</v>
      </c>
      <c r="G7" s="36">
        <v>0</v>
      </c>
      <c r="H7" s="29">
        <v>1</v>
      </c>
      <c r="I7" s="4">
        <v>0</v>
      </c>
      <c r="J7" s="17">
        <v>1</v>
      </c>
    </row>
    <row r="8" spans="1:10" x14ac:dyDescent="0.25">
      <c r="A8" s="16" t="s">
        <v>2</v>
      </c>
      <c r="B8" s="36">
        <v>3</v>
      </c>
      <c r="C8" s="36">
        <v>0</v>
      </c>
      <c r="D8" s="36">
        <v>0</v>
      </c>
      <c r="E8" s="36">
        <v>1</v>
      </c>
      <c r="F8" s="36">
        <v>2</v>
      </c>
      <c r="G8" s="36">
        <v>0</v>
      </c>
      <c r="H8" s="29">
        <v>6</v>
      </c>
      <c r="I8" s="3">
        <v>0</v>
      </c>
      <c r="J8" s="17">
        <v>6</v>
      </c>
    </row>
    <row r="9" spans="1:10" x14ac:dyDescent="0.25">
      <c r="A9" s="16" t="s">
        <v>3</v>
      </c>
      <c r="B9" s="36">
        <v>62</v>
      </c>
      <c r="C9" s="36">
        <v>31</v>
      </c>
      <c r="D9" s="36">
        <v>15</v>
      </c>
      <c r="E9" s="36">
        <v>3</v>
      </c>
      <c r="F9" s="36">
        <v>41</v>
      </c>
      <c r="G9" s="36">
        <v>26</v>
      </c>
      <c r="H9" s="29">
        <v>178</v>
      </c>
      <c r="I9" s="3">
        <v>1</v>
      </c>
      <c r="J9" s="17">
        <v>179</v>
      </c>
    </row>
    <row r="10" spans="1:10" x14ac:dyDescent="0.25">
      <c r="A10" s="16" t="s">
        <v>4</v>
      </c>
      <c r="B10" s="36">
        <v>172</v>
      </c>
      <c r="C10" s="36">
        <v>77</v>
      </c>
      <c r="D10" s="36">
        <v>33</v>
      </c>
      <c r="E10" s="36">
        <v>8</v>
      </c>
      <c r="F10" s="36">
        <v>130</v>
      </c>
      <c r="G10" s="36">
        <v>58</v>
      </c>
      <c r="H10" s="29">
        <v>478</v>
      </c>
      <c r="I10" s="3">
        <v>0</v>
      </c>
      <c r="J10" s="17">
        <v>478</v>
      </c>
    </row>
    <row r="11" spans="1:10" x14ac:dyDescent="0.25">
      <c r="A11" s="16" t="s">
        <v>5</v>
      </c>
      <c r="B11" s="37">
        <v>1368</v>
      </c>
      <c r="C11" s="37">
        <v>1881</v>
      </c>
      <c r="D11" s="37">
        <v>1213</v>
      </c>
      <c r="E11" s="36">
        <v>284</v>
      </c>
      <c r="F11" s="37">
        <v>1008</v>
      </c>
      <c r="G11" s="37">
        <v>986</v>
      </c>
      <c r="H11" s="29">
        <v>6740</v>
      </c>
      <c r="I11" s="3">
        <v>30</v>
      </c>
      <c r="J11" s="17">
        <v>6770</v>
      </c>
    </row>
    <row r="12" spans="1:10" x14ac:dyDescent="0.25">
      <c r="A12" s="16" t="s">
        <v>6</v>
      </c>
      <c r="B12" s="37">
        <v>3543</v>
      </c>
      <c r="C12" s="37">
        <v>5071</v>
      </c>
      <c r="D12" s="37">
        <v>3142</v>
      </c>
      <c r="E12" s="36">
        <v>755</v>
      </c>
      <c r="F12" s="37">
        <v>3991</v>
      </c>
      <c r="G12" s="37">
        <v>3837</v>
      </c>
      <c r="H12" s="29">
        <v>20339</v>
      </c>
      <c r="I12" s="3">
        <v>146</v>
      </c>
      <c r="J12" s="17">
        <v>20485</v>
      </c>
    </row>
    <row r="13" spans="1:10" x14ac:dyDescent="0.25">
      <c r="A13" s="16" t="s">
        <v>7</v>
      </c>
      <c r="B13" s="37">
        <v>6588</v>
      </c>
      <c r="C13" s="37">
        <v>7664</v>
      </c>
      <c r="D13" s="37">
        <v>4817</v>
      </c>
      <c r="E13" s="37">
        <v>1310</v>
      </c>
      <c r="F13" s="37">
        <v>4300</v>
      </c>
      <c r="G13" s="37">
        <v>5108</v>
      </c>
      <c r="H13" s="29">
        <v>29787</v>
      </c>
      <c r="I13" s="3">
        <v>301</v>
      </c>
      <c r="J13" s="17">
        <v>30088</v>
      </c>
    </row>
    <row r="14" spans="1:10" x14ac:dyDescent="0.25">
      <c r="A14" s="16" t="s">
        <v>8</v>
      </c>
      <c r="B14" s="37">
        <v>10532</v>
      </c>
      <c r="C14" s="37">
        <v>11717</v>
      </c>
      <c r="D14" s="37">
        <v>3921</v>
      </c>
      <c r="E14" s="37">
        <v>1233</v>
      </c>
      <c r="F14" s="37">
        <v>3442</v>
      </c>
      <c r="G14" s="37">
        <v>2714</v>
      </c>
      <c r="H14" s="29">
        <v>33559</v>
      </c>
      <c r="I14" s="3">
        <v>375</v>
      </c>
      <c r="J14" s="17">
        <v>33934</v>
      </c>
    </row>
    <row r="15" spans="1:10" x14ac:dyDescent="0.25">
      <c r="A15" s="16" t="s">
        <v>9</v>
      </c>
      <c r="B15" s="37">
        <v>8967</v>
      </c>
      <c r="C15" s="37">
        <v>5977</v>
      </c>
      <c r="D15" s="36">
        <v>671</v>
      </c>
      <c r="E15" s="36">
        <v>305</v>
      </c>
      <c r="F15" s="37">
        <v>1179</v>
      </c>
      <c r="G15" s="36">
        <v>601</v>
      </c>
      <c r="H15" s="29">
        <v>17700</v>
      </c>
      <c r="I15" s="3">
        <v>76</v>
      </c>
      <c r="J15" s="17">
        <v>17776</v>
      </c>
    </row>
    <row r="16" spans="1:10" x14ac:dyDescent="0.25">
      <c r="A16" s="16" t="s">
        <v>10</v>
      </c>
      <c r="B16" s="37">
        <v>5298</v>
      </c>
      <c r="C16" s="37">
        <v>2048</v>
      </c>
      <c r="D16" s="36">
        <v>414</v>
      </c>
      <c r="E16" s="36">
        <v>274</v>
      </c>
      <c r="F16" s="37">
        <v>1035</v>
      </c>
      <c r="G16" s="36">
        <v>343</v>
      </c>
      <c r="H16" s="29">
        <v>9412</v>
      </c>
      <c r="I16" s="3">
        <v>33</v>
      </c>
      <c r="J16" s="17">
        <v>9445</v>
      </c>
    </row>
    <row r="17" spans="1:10" x14ac:dyDescent="0.25">
      <c r="A17" s="16" t="s">
        <v>11</v>
      </c>
      <c r="B17" s="36">
        <v>1</v>
      </c>
      <c r="C17" s="36">
        <v>0</v>
      </c>
      <c r="D17" s="36">
        <v>0</v>
      </c>
      <c r="E17" s="36">
        <v>0</v>
      </c>
      <c r="F17" s="36">
        <v>1</v>
      </c>
      <c r="G17" s="36">
        <v>0</v>
      </c>
      <c r="H17" s="29">
        <v>2</v>
      </c>
      <c r="I17" s="3">
        <v>0</v>
      </c>
      <c r="J17" s="17">
        <v>2</v>
      </c>
    </row>
    <row r="18" spans="1:10" x14ac:dyDescent="0.25">
      <c r="A18" s="16" t="s">
        <v>12</v>
      </c>
      <c r="B18" s="37">
        <v>414</v>
      </c>
      <c r="C18" s="36">
        <v>104</v>
      </c>
      <c r="D18" s="36">
        <v>3</v>
      </c>
      <c r="E18" s="36">
        <v>14</v>
      </c>
      <c r="F18" s="36">
        <v>0</v>
      </c>
      <c r="G18" s="36">
        <v>0</v>
      </c>
      <c r="H18" s="29">
        <v>535</v>
      </c>
      <c r="I18" s="3">
        <v>0</v>
      </c>
      <c r="J18" s="17">
        <v>535</v>
      </c>
    </row>
    <row r="19" spans="1:10" x14ac:dyDescent="0.25">
      <c r="A19" s="16" t="s">
        <v>13</v>
      </c>
      <c r="B19" s="37">
        <v>1382</v>
      </c>
      <c r="C19" s="36">
        <v>525</v>
      </c>
      <c r="D19" s="36">
        <v>19</v>
      </c>
      <c r="E19" s="36">
        <v>33</v>
      </c>
      <c r="F19" s="36">
        <v>0</v>
      </c>
      <c r="G19" s="36">
        <v>0</v>
      </c>
      <c r="H19" s="29">
        <v>1959</v>
      </c>
      <c r="I19" s="3">
        <v>27</v>
      </c>
      <c r="J19" s="17">
        <v>1986</v>
      </c>
    </row>
    <row r="20" spans="1:10" x14ac:dyDescent="0.25">
      <c r="A20" s="16" t="s">
        <v>14</v>
      </c>
      <c r="B20" s="37">
        <v>2283</v>
      </c>
      <c r="C20" s="37">
        <v>1081</v>
      </c>
      <c r="D20" s="36">
        <v>35</v>
      </c>
      <c r="E20" s="36">
        <v>76</v>
      </c>
      <c r="F20" s="36">
        <v>0</v>
      </c>
      <c r="G20" s="36">
        <v>0</v>
      </c>
      <c r="H20" s="29">
        <v>3475</v>
      </c>
      <c r="I20" s="3">
        <v>50</v>
      </c>
      <c r="J20" s="17">
        <v>3525</v>
      </c>
    </row>
    <row r="21" spans="1:10" x14ac:dyDescent="0.25">
      <c r="A21" s="16" t="s">
        <v>15</v>
      </c>
      <c r="B21" s="37">
        <v>3215</v>
      </c>
      <c r="C21" s="37">
        <v>1281</v>
      </c>
      <c r="D21" s="36">
        <v>32</v>
      </c>
      <c r="E21" s="36">
        <v>80</v>
      </c>
      <c r="F21" s="36">
        <v>0</v>
      </c>
      <c r="G21" s="36">
        <v>0</v>
      </c>
      <c r="H21" s="29">
        <v>4608</v>
      </c>
      <c r="I21" s="3">
        <v>43</v>
      </c>
      <c r="J21" s="17">
        <v>4651</v>
      </c>
    </row>
    <row r="22" spans="1:10" x14ac:dyDescent="0.25">
      <c r="A22" s="16" t="s">
        <v>44</v>
      </c>
      <c r="B22" s="37">
        <v>1278</v>
      </c>
      <c r="C22" s="36">
        <v>466</v>
      </c>
      <c r="D22" s="36">
        <v>0</v>
      </c>
      <c r="E22" s="36">
        <v>53</v>
      </c>
      <c r="F22" s="36">
        <v>0</v>
      </c>
      <c r="G22" s="36">
        <v>0</v>
      </c>
      <c r="H22" s="29">
        <v>1797</v>
      </c>
      <c r="I22" s="3">
        <v>0</v>
      </c>
      <c r="J22" s="17">
        <v>1797</v>
      </c>
    </row>
    <row r="23" spans="1:10" ht="15.75" thickBot="1" x14ac:dyDescent="0.3">
      <c r="A23" s="18"/>
      <c r="B23" s="6"/>
      <c r="C23" s="7"/>
      <c r="D23" s="7"/>
      <c r="E23" s="7"/>
      <c r="F23" s="7"/>
      <c r="G23" s="25"/>
      <c r="H23" s="30"/>
      <c r="I23" s="6" t="s">
        <v>38</v>
      </c>
      <c r="J23" s="19"/>
    </row>
    <row r="24" spans="1:10" ht="24.95" customHeight="1" thickBot="1" x14ac:dyDescent="0.3">
      <c r="A24" s="20" t="s">
        <v>16</v>
      </c>
      <c r="B24" s="31">
        <f>SUM(B7:B22)</f>
        <v>45106</v>
      </c>
      <c r="C24" s="31">
        <f>SUM(C7:C22)</f>
        <v>37923</v>
      </c>
      <c r="D24" s="31">
        <f>SUM(D7:D22)</f>
        <v>14315</v>
      </c>
      <c r="E24" s="31">
        <f>SUM(E7:E22)</f>
        <v>4429</v>
      </c>
      <c r="F24" s="31">
        <f>SUM(F7:F22)</f>
        <v>15130</v>
      </c>
      <c r="G24" s="31">
        <f>SUM(G7:G22)</f>
        <v>13673</v>
      </c>
      <c r="H24" s="31">
        <f>SUM(H7:H22)</f>
        <v>130576</v>
      </c>
      <c r="I24" s="31">
        <f>SUM(I7:I22)</f>
        <v>1082</v>
      </c>
      <c r="J24" s="32">
        <f>SUM(J7:J22)</f>
        <v>131658</v>
      </c>
    </row>
    <row r="25" spans="1:10" x14ac:dyDescent="0.25">
      <c r="A25" s="16" t="s">
        <v>17</v>
      </c>
      <c r="B25" s="4">
        <v>2064</v>
      </c>
      <c r="C25" s="5">
        <v>1532</v>
      </c>
      <c r="D25" s="5">
        <v>351</v>
      </c>
      <c r="E25" s="5">
        <v>177</v>
      </c>
      <c r="F25" s="5">
        <v>1973</v>
      </c>
      <c r="G25" s="23">
        <v>962</v>
      </c>
      <c r="H25" s="29">
        <v>7059</v>
      </c>
      <c r="I25" s="4">
        <v>68</v>
      </c>
      <c r="J25" s="21">
        <v>7127</v>
      </c>
    </row>
    <row r="26" spans="1:10" x14ac:dyDescent="0.25">
      <c r="A26" s="16" t="s">
        <v>18</v>
      </c>
      <c r="B26" s="3">
        <v>7215</v>
      </c>
      <c r="C26" s="2">
        <v>5584</v>
      </c>
      <c r="D26" s="2">
        <v>932</v>
      </c>
      <c r="E26" s="2">
        <v>514</v>
      </c>
      <c r="F26" s="2">
        <v>4435</v>
      </c>
      <c r="G26" s="24">
        <v>2872</v>
      </c>
      <c r="H26" s="29">
        <v>21552</v>
      </c>
      <c r="I26" s="3">
        <v>125</v>
      </c>
      <c r="J26" s="21">
        <v>21677</v>
      </c>
    </row>
    <row r="27" spans="1:10" x14ac:dyDescent="0.25">
      <c r="A27" s="16" t="s">
        <v>19</v>
      </c>
      <c r="B27" s="3">
        <v>19410</v>
      </c>
      <c r="C27" s="2">
        <v>14420</v>
      </c>
      <c r="D27" s="2">
        <v>3805</v>
      </c>
      <c r="E27" s="2">
        <v>1085</v>
      </c>
      <c r="F27" s="2">
        <v>15183</v>
      </c>
      <c r="G27" s="24">
        <v>8259</v>
      </c>
      <c r="H27" s="29">
        <v>62162</v>
      </c>
      <c r="I27" s="3">
        <v>667</v>
      </c>
      <c r="J27" s="21">
        <v>62829</v>
      </c>
    </row>
    <row r="28" spans="1:10" x14ac:dyDescent="0.25">
      <c r="A28" s="16" t="s">
        <v>20</v>
      </c>
      <c r="B28" s="3">
        <v>36658</v>
      </c>
      <c r="C28" s="2">
        <v>19601</v>
      </c>
      <c r="D28" s="2">
        <v>10369</v>
      </c>
      <c r="E28" s="2">
        <v>1989</v>
      </c>
      <c r="F28" s="2">
        <v>18700</v>
      </c>
      <c r="G28" s="24">
        <v>12044</v>
      </c>
      <c r="H28" s="29">
        <v>99361</v>
      </c>
      <c r="I28" s="3">
        <v>1494</v>
      </c>
      <c r="J28" s="21">
        <v>100855</v>
      </c>
    </row>
    <row r="29" spans="1:10" x14ac:dyDescent="0.25">
      <c r="A29" s="16" t="s">
        <v>21</v>
      </c>
      <c r="B29" s="3">
        <v>62383</v>
      </c>
      <c r="C29" s="2">
        <v>33727</v>
      </c>
      <c r="D29" s="2">
        <v>13700</v>
      </c>
      <c r="E29" s="2">
        <v>4647</v>
      </c>
      <c r="F29" s="2">
        <v>20126</v>
      </c>
      <c r="G29" s="24">
        <v>12187</v>
      </c>
      <c r="H29" s="29">
        <v>146770</v>
      </c>
      <c r="I29" s="3">
        <v>1671</v>
      </c>
      <c r="J29" s="21">
        <v>148441</v>
      </c>
    </row>
    <row r="30" spans="1:10" x14ac:dyDescent="0.25">
      <c r="A30" s="16" t="s">
        <v>22</v>
      </c>
      <c r="B30" s="3">
        <v>101208</v>
      </c>
      <c r="C30" s="2">
        <v>54666</v>
      </c>
      <c r="D30" s="2">
        <v>8085</v>
      </c>
      <c r="E30" s="2">
        <v>6250</v>
      </c>
      <c r="F30" s="2">
        <v>15499</v>
      </c>
      <c r="G30" s="24">
        <v>12932</v>
      </c>
      <c r="H30" s="29">
        <v>198640</v>
      </c>
      <c r="I30" s="3">
        <v>1148</v>
      </c>
      <c r="J30" s="21">
        <v>199788</v>
      </c>
    </row>
    <row r="31" spans="1:10" x14ac:dyDescent="0.25">
      <c r="A31" s="16" t="s">
        <v>23</v>
      </c>
      <c r="B31" s="3">
        <v>36296</v>
      </c>
      <c r="C31" s="2">
        <v>16221</v>
      </c>
      <c r="D31" s="2">
        <v>4049</v>
      </c>
      <c r="E31" s="2">
        <v>14668</v>
      </c>
      <c r="F31" s="2">
        <v>11653</v>
      </c>
      <c r="G31" s="24">
        <v>3537</v>
      </c>
      <c r="H31" s="29">
        <v>86424</v>
      </c>
      <c r="I31" s="3">
        <v>91</v>
      </c>
      <c r="J31" s="21">
        <v>86515</v>
      </c>
    </row>
    <row r="32" spans="1:10" x14ac:dyDescent="0.25">
      <c r="A32" s="16" t="s">
        <v>24</v>
      </c>
      <c r="B32" s="3">
        <v>17372</v>
      </c>
      <c r="C32" s="2">
        <v>7008</v>
      </c>
      <c r="D32" s="2">
        <v>1436</v>
      </c>
      <c r="E32" s="2">
        <v>3300</v>
      </c>
      <c r="F32" s="2">
        <v>499</v>
      </c>
      <c r="G32" s="24">
        <v>739</v>
      </c>
      <c r="H32" s="29">
        <v>30354</v>
      </c>
      <c r="I32" s="3">
        <v>0</v>
      </c>
      <c r="J32" s="21">
        <v>30354</v>
      </c>
    </row>
    <row r="33" spans="1:10" x14ac:dyDescent="0.25">
      <c r="A33" s="16" t="s">
        <v>25</v>
      </c>
      <c r="B33" s="2">
        <v>13898</v>
      </c>
      <c r="C33" s="2">
        <v>7760</v>
      </c>
      <c r="D33" s="2">
        <v>1014</v>
      </c>
      <c r="E33" s="2">
        <v>1171</v>
      </c>
      <c r="F33" s="2">
        <v>1209</v>
      </c>
      <c r="G33" s="24">
        <v>1055</v>
      </c>
      <c r="H33" s="29">
        <v>26107</v>
      </c>
      <c r="I33" s="3">
        <v>0</v>
      </c>
      <c r="J33" s="21">
        <v>26107</v>
      </c>
    </row>
    <row r="34" spans="1:10" x14ac:dyDescent="0.25">
      <c r="A34" s="16" t="s">
        <v>43</v>
      </c>
      <c r="B34" s="2">
        <v>1</v>
      </c>
      <c r="C34" s="2">
        <v>0</v>
      </c>
      <c r="D34" s="2">
        <v>0</v>
      </c>
      <c r="E34" s="2">
        <v>0</v>
      </c>
      <c r="F34" s="2">
        <v>0</v>
      </c>
      <c r="G34" s="41">
        <v>0</v>
      </c>
      <c r="H34" s="29">
        <v>1</v>
      </c>
      <c r="I34" s="3">
        <v>0</v>
      </c>
      <c r="J34" s="21">
        <v>1</v>
      </c>
    </row>
    <row r="35" spans="1:10" ht="15.75" thickBot="1" x14ac:dyDescent="0.3">
      <c r="A35" s="16"/>
      <c r="B35" s="8"/>
      <c r="C35" s="8"/>
      <c r="D35" s="8"/>
      <c r="E35" s="8"/>
      <c r="F35" s="8"/>
      <c r="G35" s="38"/>
      <c r="H35" s="40"/>
      <c r="I35" s="8"/>
      <c r="J35" s="39"/>
    </row>
    <row r="36" spans="1:10" ht="15.75" thickBot="1" x14ac:dyDescent="0.3">
      <c r="A36" s="20" t="s">
        <v>26</v>
      </c>
      <c r="B36" s="31">
        <f>SUM(B25:B34)</f>
        <v>296505</v>
      </c>
      <c r="C36" s="31">
        <f>SUM(C25:C34)</f>
        <v>160519</v>
      </c>
      <c r="D36" s="31">
        <f>SUM(D25:D34)</f>
        <v>43741</v>
      </c>
      <c r="E36" s="31">
        <f>SUM(E25:E34)</f>
        <v>33801</v>
      </c>
      <c r="F36" s="31">
        <f>SUM(F25:F34)</f>
        <v>89277</v>
      </c>
      <c r="G36" s="31">
        <f>SUM(G25:G34)</f>
        <v>54587</v>
      </c>
      <c r="H36" s="31">
        <f>SUM(H25:H34)</f>
        <v>678430</v>
      </c>
      <c r="I36" s="31">
        <f>SUM(I25:I34)</f>
        <v>5264</v>
      </c>
      <c r="J36" s="32">
        <f>SUM(J25:J34)</f>
        <v>683694</v>
      </c>
    </row>
    <row r="37" spans="1:10" ht="16.5" thickTop="1" thickBot="1" x14ac:dyDescent="0.3">
      <c r="A37" s="9" t="s">
        <v>27</v>
      </c>
      <c r="B37" s="33">
        <f>SUM(B24,B36)</f>
        <v>341611</v>
      </c>
      <c r="C37" s="33">
        <f>SUM(C24,C36)</f>
        <v>198442</v>
      </c>
      <c r="D37" s="33">
        <f>SUM(D24,D36)</f>
        <v>58056</v>
      </c>
      <c r="E37" s="33">
        <f>SUM(E24,E36)</f>
        <v>38230</v>
      </c>
      <c r="F37" s="33">
        <f>SUM(F24,F36)</f>
        <v>104407</v>
      </c>
      <c r="G37" s="34">
        <f>SUM(G24,G36)</f>
        <v>68260</v>
      </c>
      <c r="H37" s="27">
        <f>SUM(H24,H36)</f>
        <v>809006</v>
      </c>
      <c r="I37" s="33">
        <f>SUM(I24,I36)</f>
        <v>6346</v>
      </c>
      <c r="J37" s="35">
        <f>SUM(J24,J36)</f>
        <v>815352</v>
      </c>
    </row>
    <row r="38" spans="1:10" ht="15.75" thickTop="1" x14ac:dyDescent="0.25">
      <c r="B38" s="10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2" width="15.85546875" customWidth="1"/>
    <col min="3" max="10" width="15.7109375" customWidth="1"/>
  </cols>
  <sheetData>
    <row r="1" spans="1:10" ht="19.5" thickTop="1" x14ac:dyDescent="0.3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75" x14ac:dyDescent="0.3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75" x14ac:dyDescent="0.3">
      <c r="A3" s="48" t="s">
        <v>47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.5" thickBot="1" x14ac:dyDescent="0.3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.75" thickBot="1" x14ac:dyDescent="0.3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1" customFormat="1" ht="30.75" thickBot="1" x14ac:dyDescent="0.3">
      <c r="A6" s="14" t="s">
        <v>0</v>
      </c>
      <c r="B6" s="12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22" t="s">
        <v>35</v>
      </c>
      <c r="H6" s="28" t="s">
        <v>36</v>
      </c>
      <c r="I6" s="26" t="s">
        <v>39</v>
      </c>
      <c r="J6" s="15" t="s">
        <v>37</v>
      </c>
    </row>
    <row r="7" spans="1:10" ht="15.75" thickTop="1" x14ac:dyDescent="0.25">
      <c r="A7" s="16" t="s">
        <v>1</v>
      </c>
      <c r="B7" s="36">
        <v>0</v>
      </c>
      <c r="C7" s="36">
        <v>0</v>
      </c>
      <c r="D7" s="36">
        <v>0</v>
      </c>
      <c r="E7" s="36">
        <v>0</v>
      </c>
      <c r="F7" s="36">
        <v>1</v>
      </c>
      <c r="G7" s="36">
        <v>0</v>
      </c>
      <c r="H7" s="29">
        <v>1</v>
      </c>
      <c r="I7" s="4">
        <v>0</v>
      </c>
      <c r="J7" s="17">
        <v>1</v>
      </c>
    </row>
    <row r="8" spans="1:10" x14ac:dyDescent="0.25">
      <c r="A8" s="16" t="s">
        <v>2</v>
      </c>
      <c r="B8" s="36">
        <v>3</v>
      </c>
      <c r="C8" s="36">
        <v>0</v>
      </c>
      <c r="D8" s="36">
        <v>0</v>
      </c>
      <c r="E8" s="36">
        <v>1</v>
      </c>
      <c r="F8" s="36">
        <v>2</v>
      </c>
      <c r="G8" s="36">
        <v>0</v>
      </c>
      <c r="H8" s="29">
        <v>6</v>
      </c>
      <c r="I8" s="3">
        <v>0</v>
      </c>
      <c r="J8" s="17">
        <v>6</v>
      </c>
    </row>
    <row r="9" spans="1:10" x14ac:dyDescent="0.25">
      <c r="A9" s="16" t="s">
        <v>3</v>
      </c>
      <c r="B9" s="36">
        <v>62</v>
      </c>
      <c r="C9" s="36">
        <v>32</v>
      </c>
      <c r="D9" s="36">
        <v>15</v>
      </c>
      <c r="E9" s="36">
        <v>5</v>
      </c>
      <c r="F9" s="36">
        <v>41</v>
      </c>
      <c r="G9" s="36">
        <v>26</v>
      </c>
      <c r="H9" s="29">
        <v>181</v>
      </c>
      <c r="I9" s="3">
        <v>1</v>
      </c>
      <c r="J9" s="17">
        <v>182</v>
      </c>
    </row>
    <row r="10" spans="1:10" x14ac:dyDescent="0.25">
      <c r="A10" s="16" t="s">
        <v>4</v>
      </c>
      <c r="B10" s="36">
        <v>171</v>
      </c>
      <c r="C10" s="36">
        <v>75</v>
      </c>
      <c r="D10" s="36">
        <v>33</v>
      </c>
      <c r="E10" s="36">
        <v>7</v>
      </c>
      <c r="F10" s="36">
        <v>127</v>
      </c>
      <c r="G10" s="36">
        <v>55</v>
      </c>
      <c r="H10" s="29">
        <v>468</v>
      </c>
      <c r="I10" s="3">
        <v>0</v>
      </c>
      <c r="J10" s="17">
        <v>468</v>
      </c>
    </row>
    <row r="11" spans="1:10" x14ac:dyDescent="0.25">
      <c r="A11" s="16" t="s">
        <v>5</v>
      </c>
      <c r="B11" s="37">
        <v>1377</v>
      </c>
      <c r="C11" s="37">
        <v>1880</v>
      </c>
      <c r="D11" s="37">
        <v>1213</v>
      </c>
      <c r="E11" s="36">
        <v>283</v>
      </c>
      <c r="F11" s="37">
        <v>999</v>
      </c>
      <c r="G11" s="37">
        <v>1026</v>
      </c>
      <c r="H11" s="29">
        <v>6778</v>
      </c>
      <c r="I11" s="3">
        <v>29</v>
      </c>
      <c r="J11" s="17">
        <v>6807</v>
      </c>
    </row>
    <row r="12" spans="1:10" x14ac:dyDescent="0.25">
      <c r="A12" s="16" t="s">
        <v>6</v>
      </c>
      <c r="B12" s="37">
        <v>3525</v>
      </c>
      <c r="C12" s="37">
        <v>5023</v>
      </c>
      <c r="D12" s="37">
        <v>3138</v>
      </c>
      <c r="E12" s="36">
        <v>759</v>
      </c>
      <c r="F12" s="37">
        <v>4061</v>
      </c>
      <c r="G12" s="37">
        <v>3783</v>
      </c>
      <c r="H12" s="29">
        <v>20289</v>
      </c>
      <c r="I12" s="3">
        <v>148</v>
      </c>
      <c r="J12" s="17">
        <v>20437</v>
      </c>
    </row>
    <row r="13" spans="1:10" x14ac:dyDescent="0.25">
      <c r="A13" s="16" t="s">
        <v>7</v>
      </c>
      <c r="B13" s="37">
        <v>6593</v>
      </c>
      <c r="C13" s="37">
        <v>7636</v>
      </c>
      <c r="D13" s="37">
        <v>4811</v>
      </c>
      <c r="E13" s="37">
        <v>1309</v>
      </c>
      <c r="F13" s="37">
        <v>4309</v>
      </c>
      <c r="G13" s="37">
        <v>5208</v>
      </c>
      <c r="H13" s="29">
        <v>29866</v>
      </c>
      <c r="I13" s="3">
        <v>299</v>
      </c>
      <c r="J13" s="17">
        <v>30165</v>
      </c>
    </row>
    <row r="14" spans="1:10" x14ac:dyDescent="0.25">
      <c r="A14" s="16" t="s">
        <v>8</v>
      </c>
      <c r="B14" s="37">
        <v>10558</v>
      </c>
      <c r="C14" s="37">
        <v>11794</v>
      </c>
      <c r="D14" s="37">
        <v>3918</v>
      </c>
      <c r="E14" s="37">
        <v>1257</v>
      </c>
      <c r="F14" s="37">
        <v>3408</v>
      </c>
      <c r="G14" s="37">
        <v>2645</v>
      </c>
      <c r="H14" s="29">
        <v>33580</v>
      </c>
      <c r="I14" s="3">
        <v>373</v>
      </c>
      <c r="J14" s="17">
        <v>33953</v>
      </c>
    </row>
    <row r="15" spans="1:10" x14ac:dyDescent="0.25">
      <c r="A15" s="16" t="s">
        <v>9</v>
      </c>
      <c r="B15" s="37">
        <v>8788</v>
      </c>
      <c r="C15" s="37">
        <v>5991</v>
      </c>
      <c r="D15" s="36">
        <v>675</v>
      </c>
      <c r="E15" s="36">
        <v>283</v>
      </c>
      <c r="F15" s="37">
        <v>1200</v>
      </c>
      <c r="G15" s="36">
        <v>623</v>
      </c>
      <c r="H15" s="29">
        <v>17560</v>
      </c>
      <c r="I15" s="3">
        <v>75</v>
      </c>
      <c r="J15" s="17">
        <v>17635</v>
      </c>
    </row>
    <row r="16" spans="1:10" x14ac:dyDescent="0.25">
      <c r="A16" s="16" t="s">
        <v>10</v>
      </c>
      <c r="B16" s="37">
        <v>5392</v>
      </c>
      <c r="C16" s="37">
        <v>2414</v>
      </c>
      <c r="D16" s="36">
        <v>420</v>
      </c>
      <c r="E16" s="36">
        <v>290</v>
      </c>
      <c r="F16" s="37">
        <v>953</v>
      </c>
      <c r="G16" s="36">
        <v>320</v>
      </c>
      <c r="H16" s="29">
        <v>9789</v>
      </c>
      <c r="I16" s="3">
        <v>37</v>
      </c>
      <c r="J16" s="17">
        <v>9826</v>
      </c>
    </row>
    <row r="17" spans="1:10" x14ac:dyDescent="0.25">
      <c r="A17" s="16" t="s">
        <v>11</v>
      </c>
      <c r="B17" s="37">
        <v>411</v>
      </c>
      <c r="C17" s="36">
        <v>105</v>
      </c>
      <c r="D17" s="36">
        <v>3</v>
      </c>
      <c r="E17" s="36">
        <v>14</v>
      </c>
      <c r="F17" s="36">
        <v>0</v>
      </c>
      <c r="G17" s="36">
        <v>0</v>
      </c>
      <c r="H17" s="29">
        <v>533</v>
      </c>
      <c r="I17" s="3">
        <v>0</v>
      </c>
      <c r="J17" s="17">
        <v>533</v>
      </c>
    </row>
    <row r="18" spans="1:10" x14ac:dyDescent="0.25">
      <c r="A18" s="16" t="s">
        <v>12</v>
      </c>
      <c r="B18" s="37">
        <v>1376</v>
      </c>
      <c r="C18" s="36">
        <v>525</v>
      </c>
      <c r="D18" s="36">
        <v>19</v>
      </c>
      <c r="E18" s="36">
        <v>34</v>
      </c>
      <c r="F18" s="36">
        <v>0</v>
      </c>
      <c r="G18" s="36">
        <v>0</v>
      </c>
      <c r="H18" s="29">
        <v>1954</v>
      </c>
      <c r="I18" s="3">
        <v>26</v>
      </c>
      <c r="J18" s="17">
        <v>1980</v>
      </c>
    </row>
    <row r="19" spans="1:10" x14ac:dyDescent="0.25">
      <c r="A19" s="16" t="s">
        <v>13</v>
      </c>
      <c r="B19" s="37">
        <v>2280</v>
      </c>
      <c r="C19" s="37">
        <v>1090</v>
      </c>
      <c r="D19" s="36">
        <v>36</v>
      </c>
      <c r="E19" s="36">
        <v>76</v>
      </c>
      <c r="F19" s="36">
        <v>0</v>
      </c>
      <c r="G19" s="36">
        <v>0</v>
      </c>
      <c r="H19" s="29">
        <v>3482</v>
      </c>
      <c r="I19" s="3">
        <v>50</v>
      </c>
      <c r="J19" s="17">
        <v>3532</v>
      </c>
    </row>
    <row r="20" spans="1:10" x14ac:dyDescent="0.25">
      <c r="A20" s="16" t="s">
        <v>14</v>
      </c>
      <c r="B20" s="37">
        <v>3341</v>
      </c>
      <c r="C20" s="37">
        <v>1255</v>
      </c>
      <c r="D20" s="36">
        <v>32</v>
      </c>
      <c r="E20" s="36">
        <v>80</v>
      </c>
      <c r="F20" s="36">
        <v>0</v>
      </c>
      <c r="G20" s="36">
        <v>0</v>
      </c>
      <c r="H20" s="29">
        <v>4708</v>
      </c>
      <c r="I20" s="3">
        <v>43</v>
      </c>
      <c r="J20" s="17">
        <v>4751</v>
      </c>
    </row>
    <row r="21" spans="1:10" x14ac:dyDescent="0.25">
      <c r="A21" s="16" t="s">
        <v>15</v>
      </c>
      <c r="B21" s="37">
        <v>1163</v>
      </c>
      <c r="C21" s="36">
        <v>482</v>
      </c>
      <c r="D21" s="36">
        <v>0</v>
      </c>
      <c r="E21" s="36">
        <v>53</v>
      </c>
      <c r="F21" s="36">
        <v>0</v>
      </c>
      <c r="G21" s="36">
        <v>0</v>
      </c>
      <c r="H21" s="29">
        <v>1698</v>
      </c>
      <c r="I21" s="3">
        <v>0</v>
      </c>
      <c r="J21" s="17">
        <v>1698</v>
      </c>
    </row>
    <row r="22" spans="1:10" x14ac:dyDescent="0.25">
      <c r="A22" s="16" t="s">
        <v>44</v>
      </c>
      <c r="B22" s="36">
        <v>1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29">
        <v>1</v>
      </c>
      <c r="I22" s="3">
        <v>0</v>
      </c>
      <c r="J22" s="17">
        <v>1</v>
      </c>
    </row>
    <row r="23" spans="1:10" ht="15.75" thickBot="1" x14ac:dyDescent="0.3">
      <c r="A23" s="18"/>
      <c r="B23" s="6"/>
      <c r="C23" s="7"/>
      <c r="D23" s="7"/>
      <c r="E23" s="7"/>
      <c r="F23" s="7"/>
      <c r="G23" s="25"/>
      <c r="H23" s="30"/>
      <c r="I23" s="6"/>
      <c r="J23" s="19"/>
    </row>
    <row r="24" spans="1:10" ht="24.95" customHeight="1" thickBot="1" x14ac:dyDescent="0.3">
      <c r="A24" s="20" t="s">
        <v>16</v>
      </c>
      <c r="B24" s="31">
        <f>SUM(B7:B22)</f>
        <v>45041</v>
      </c>
      <c r="C24" s="31">
        <f>SUM(C7:C22)</f>
        <v>38302</v>
      </c>
      <c r="D24" s="31">
        <f>SUM(D7:D22)</f>
        <v>14313</v>
      </c>
      <c r="E24" s="31">
        <f>SUM(E7:E22)</f>
        <v>4451</v>
      </c>
      <c r="F24" s="31">
        <f>SUM(F7:F22)</f>
        <v>15101</v>
      </c>
      <c r="G24" s="31">
        <f>SUM(G7:G22)</f>
        <v>13686</v>
      </c>
      <c r="H24" s="31">
        <f>SUM(H7:H22)</f>
        <v>130894</v>
      </c>
      <c r="I24" s="31">
        <f>SUM(I7:I22)</f>
        <v>1081</v>
      </c>
      <c r="J24" s="32">
        <f>SUM(J7:J22)</f>
        <v>131975</v>
      </c>
    </row>
    <row r="25" spans="1:10" x14ac:dyDescent="0.25">
      <c r="A25" s="16" t="s">
        <v>17</v>
      </c>
      <c r="B25" s="4">
        <v>2062</v>
      </c>
      <c r="C25" s="5">
        <v>1539</v>
      </c>
      <c r="D25" s="5">
        <v>346</v>
      </c>
      <c r="E25" s="5">
        <v>179</v>
      </c>
      <c r="F25" s="5">
        <v>1971</v>
      </c>
      <c r="G25" s="23">
        <v>956</v>
      </c>
      <c r="H25" s="29">
        <v>7053</v>
      </c>
      <c r="I25" s="4">
        <v>69</v>
      </c>
      <c r="J25" s="21">
        <v>7122</v>
      </c>
    </row>
    <row r="26" spans="1:10" x14ac:dyDescent="0.25">
      <c r="A26" s="16" t="s">
        <v>18</v>
      </c>
      <c r="B26" s="3">
        <v>7224</v>
      </c>
      <c r="C26" s="2">
        <v>5540</v>
      </c>
      <c r="D26" s="2">
        <v>944</v>
      </c>
      <c r="E26" s="2">
        <v>513</v>
      </c>
      <c r="F26" s="2">
        <v>4446</v>
      </c>
      <c r="G26" s="24">
        <v>2879</v>
      </c>
      <c r="H26" s="29">
        <v>21546</v>
      </c>
      <c r="I26" s="3">
        <v>122</v>
      </c>
      <c r="J26" s="21">
        <v>21668</v>
      </c>
    </row>
    <row r="27" spans="1:10" x14ac:dyDescent="0.25">
      <c r="A27" s="16" t="s">
        <v>19</v>
      </c>
      <c r="B27" s="3">
        <v>19312</v>
      </c>
      <c r="C27" s="2">
        <v>14349</v>
      </c>
      <c r="D27" s="2">
        <v>3826</v>
      </c>
      <c r="E27" s="2">
        <v>1095</v>
      </c>
      <c r="F27" s="2">
        <v>15250</v>
      </c>
      <c r="G27" s="24">
        <v>8239</v>
      </c>
      <c r="H27" s="29">
        <v>62071</v>
      </c>
      <c r="I27" s="3">
        <v>670</v>
      </c>
      <c r="J27" s="21">
        <v>62741</v>
      </c>
    </row>
    <row r="28" spans="1:10" x14ac:dyDescent="0.25">
      <c r="A28" s="16" t="s">
        <v>20</v>
      </c>
      <c r="B28" s="3">
        <v>36544</v>
      </c>
      <c r="C28" s="2">
        <v>19584</v>
      </c>
      <c r="D28" s="2">
        <v>10367</v>
      </c>
      <c r="E28" s="2">
        <v>1993</v>
      </c>
      <c r="F28" s="2">
        <v>18698</v>
      </c>
      <c r="G28" s="24">
        <v>12091</v>
      </c>
      <c r="H28" s="29">
        <v>99277</v>
      </c>
      <c r="I28" s="3">
        <v>1502</v>
      </c>
      <c r="J28" s="21">
        <v>100779</v>
      </c>
    </row>
    <row r="29" spans="1:10" x14ac:dyDescent="0.25">
      <c r="A29" s="16" t="s">
        <v>21</v>
      </c>
      <c r="B29" s="3">
        <v>62075</v>
      </c>
      <c r="C29" s="2">
        <v>33212</v>
      </c>
      <c r="D29" s="2">
        <v>13659</v>
      </c>
      <c r="E29" s="2">
        <v>4555</v>
      </c>
      <c r="F29" s="2">
        <v>20107</v>
      </c>
      <c r="G29" s="24">
        <v>12280</v>
      </c>
      <c r="H29" s="29">
        <v>145888</v>
      </c>
      <c r="I29" s="3">
        <v>1667</v>
      </c>
      <c r="J29" s="21">
        <v>147555</v>
      </c>
    </row>
    <row r="30" spans="1:10" x14ac:dyDescent="0.25">
      <c r="A30" s="16" t="s">
        <v>22</v>
      </c>
      <c r="B30" s="3">
        <v>101893</v>
      </c>
      <c r="C30" s="2">
        <v>54668</v>
      </c>
      <c r="D30" s="2">
        <v>8015</v>
      </c>
      <c r="E30" s="2">
        <v>6109</v>
      </c>
      <c r="F30" s="2">
        <v>15428</v>
      </c>
      <c r="G30" s="24">
        <v>12887</v>
      </c>
      <c r="H30" s="29">
        <v>199000</v>
      </c>
      <c r="I30" s="3">
        <v>1133</v>
      </c>
      <c r="J30" s="21">
        <v>200133</v>
      </c>
    </row>
    <row r="31" spans="1:10" x14ac:dyDescent="0.25">
      <c r="A31" s="16" t="s">
        <v>23</v>
      </c>
      <c r="B31" s="3">
        <v>36071</v>
      </c>
      <c r="C31" s="2">
        <v>16203</v>
      </c>
      <c r="D31" s="2">
        <v>4079</v>
      </c>
      <c r="E31" s="2">
        <v>14929</v>
      </c>
      <c r="F31" s="2">
        <v>11575</v>
      </c>
      <c r="G31" s="24">
        <v>3549</v>
      </c>
      <c r="H31" s="29">
        <v>86406</v>
      </c>
      <c r="I31" s="3">
        <v>83</v>
      </c>
      <c r="J31" s="21">
        <v>86489</v>
      </c>
    </row>
    <row r="32" spans="1:10" x14ac:dyDescent="0.25">
      <c r="A32" s="16" t="s">
        <v>24</v>
      </c>
      <c r="B32" s="3">
        <v>17643</v>
      </c>
      <c r="C32" s="2">
        <v>6948</v>
      </c>
      <c r="D32" s="2">
        <v>1456</v>
      </c>
      <c r="E32" s="2">
        <v>3296</v>
      </c>
      <c r="F32" s="2">
        <v>507</v>
      </c>
      <c r="G32" s="24">
        <v>728</v>
      </c>
      <c r="H32" s="29">
        <v>30578</v>
      </c>
      <c r="I32" s="3">
        <v>11</v>
      </c>
      <c r="J32" s="21">
        <v>30589</v>
      </c>
    </row>
    <row r="33" spans="1:10" x14ac:dyDescent="0.25">
      <c r="A33" s="16" t="s">
        <v>25</v>
      </c>
      <c r="B33" s="2">
        <v>13274</v>
      </c>
      <c r="C33" s="2">
        <v>7560</v>
      </c>
      <c r="D33" s="2">
        <v>997</v>
      </c>
      <c r="E33" s="2">
        <v>1076</v>
      </c>
      <c r="F33" s="2">
        <v>1254</v>
      </c>
      <c r="G33" s="24">
        <v>1077</v>
      </c>
      <c r="H33" s="29">
        <v>25238</v>
      </c>
      <c r="I33" s="3">
        <v>0</v>
      </c>
      <c r="J33" s="21">
        <v>25238</v>
      </c>
    </row>
    <row r="34" spans="1:10" x14ac:dyDescent="0.25">
      <c r="A34" s="16" t="s">
        <v>43</v>
      </c>
      <c r="B34" s="2">
        <v>1</v>
      </c>
      <c r="C34" s="2">
        <v>0</v>
      </c>
      <c r="D34" s="2">
        <v>0</v>
      </c>
      <c r="E34" s="2">
        <v>0</v>
      </c>
      <c r="F34" s="2">
        <v>0</v>
      </c>
      <c r="G34" s="41">
        <v>0</v>
      </c>
      <c r="H34" s="29">
        <v>1</v>
      </c>
      <c r="I34" s="3">
        <v>0</v>
      </c>
      <c r="J34" s="21">
        <v>1</v>
      </c>
    </row>
    <row r="35" spans="1:10" ht="15.75" thickBot="1" x14ac:dyDescent="0.3">
      <c r="A35" s="16"/>
      <c r="B35" s="8"/>
      <c r="C35" s="8"/>
      <c r="D35" s="8"/>
      <c r="E35" s="8"/>
      <c r="F35" s="8"/>
      <c r="G35" s="38"/>
      <c r="H35" s="40"/>
      <c r="I35" s="8"/>
      <c r="J35" s="39"/>
    </row>
    <row r="36" spans="1:10" ht="15.75" thickBot="1" x14ac:dyDescent="0.3">
      <c r="A36" s="20" t="s">
        <v>26</v>
      </c>
      <c r="B36" s="31">
        <f>SUM(B25:B34)</f>
        <v>296099</v>
      </c>
      <c r="C36" s="31">
        <f>SUM(C25:C34)</f>
        <v>159603</v>
      </c>
      <c r="D36" s="31">
        <f>SUM(D25:D34)</f>
        <v>43689</v>
      </c>
      <c r="E36" s="31">
        <f>SUM(E25:E34)</f>
        <v>33745</v>
      </c>
      <c r="F36" s="31">
        <f>SUM(F25:F34)</f>
        <v>89236</v>
      </c>
      <c r="G36" s="31">
        <f>SUM(G25:G34)</f>
        <v>54686</v>
      </c>
      <c r="H36" s="31">
        <f>SUM(H25:H34)</f>
        <v>677058</v>
      </c>
      <c r="I36" s="31">
        <f>SUM(I25:I34)</f>
        <v>5257</v>
      </c>
      <c r="J36" s="32">
        <f>SUM(J25:J34)</f>
        <v>682315</v>
      </c>
    </row>
    <row r="37" spans="1:10" ht="16.5" thickTop="1" thickBot="1" x14ac:dyDescent="0.3">
      <c r="A37" s="9" t="s">
        <v>27</v>
      </c>
      <c r="B37" s="33">
        <f>SUM(B24,B36)</f>
        <v>341140</v>
      </c>
      <c r="C37" s="33">
        <f>SUM(C24,C36)</f>
        <v>197905</v>
      </c>
      <c r="D37" s="33">
        <f>SUM(D24,D36)</f>
        <v>58002</v>
      </c>
      <c r="E37" s="33">
        <f>SUM(E24,E36)</f>
        <v>38196</v>
      </c>
      <c r="F37" s="33">
        <f>SUM(F24,F36)</f>
        <v>104337</v>
      </c>
      <c r="G37" s="34">
        <f>SUM(G24,G36)</f>
        <v>68372</v>
      </c>
      <c r="H37" s="27">
        <f>SUM(H24,H36)</f>
        <v>807952</v>
      </c>
      <c r="I37" s="33">
        <f>SUM(I24,I36)</f>
        <v>6338</v>
      </c>
      <c r="J37" s="35">
        <f>SUM(J24,J36)</f>
        <v>814290</v>
      </c>
    </row>
    <row r="38" spans="1:10" ht="15.75" thickTop="1" x14ac:dyDescent="0.25">
      <c r="B38" s="10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2" width="15.85546875" customWidth="1"/>
    <col min="3" max="10" width="15.7109375" customWidth="1"/>
  </cols>
  <sheetData>
    <row r="1" spans="1:10" ht="19.5" thickTop="1" x14ac:dyDescent="0.3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75" x14ac:dyDescent="0.3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75" x14ac:dyDescent="0.3">
      <c r="A3" s="48" t="s">
        <v>45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.5" thickBot="1" x14ac:dyDescent="0.3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.75" thickBot="1" x14ac:dyDescent="0.3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1" customFormat="1" ht="30.75" thickBot="1" x14ac:dyDescent="0.3">
      <c r="A6" s="14" t="s">
        <v>0</v>
      </c>
      <c r="B6" s="12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22" t="s">
        <v>35</v>
      </c>
      <c r="H6" s="28" t="s">
        <v>36</v>
      </c>
      <c r="I6" s="26" t="s">
        <v>39</v>
      </c>
      <c r="J6" s="15" t="s">
        <v>37</v>
      </c>
    </row>
    <row r="7" spans="1:10" ht="15.75" thickTop="1" x14ac:dyDescent="0.25">
      <c r="A7" s="16" t="s">
        <v>1</v>
      </c>
      <c r="B7" s="36">
        <v>0</v>
      </c>
      <c r="C7" s="36">
        <v>0</v>
      </c>
      <c r="D7" s="36">
        <v>0</v>
      </c>
      <c r="E7" s="36">
        <v>0</v>
      </c>
      <c r="F7" s="36">
        <v>1</v>
      </c>
      <c r="G7" s="36">
        <v>0</v>
      </c>
      <c r="H7" s="29">
        <v>1</v>
      </c>
      <c r="I7" s="4">
        <v>0</v>
      </c>
      <c r="J7" s="17">
        <v>1</v>
      </c>
    </row>
    <row r="8" spans="1:10" x14ac:dyDescent="0.25">
      <c r="A8" s="16" t="s">
        <v>2</v>
      </c>
      <c r="B8" s="36">
        <v>3</v>
      </c>
      <c r="C8" s="36">
        <v>0</v>
      </c>
      <c r="D8" s="36">
        <v>0</v>
      </c>
      <c r="E8" s="36">
        <v>1</v>
      </c>
      <c r="F8" s="36">
        <v>2</v>
      </c>
      <c r="G8" s="36">
        <v>0</v>
      </c>
      <c r="H8" s="29">
        <v>6</v>
      </c>
      <c r="I8" s="3">
        <v>0</v>
      </c>
      <c r="J8" s="17">
        <v>6</v>
      </c>
    </row>
    <row r="9" spans="1:10" x14ac:dyDescent="0.25">
      <c r="A9" s="16" t="s">
        <v>3</v>
      </c>
      <c r="B9" s="36">
        <v>63</v>
      </c>
      <c r="C9" s="36">
        <v>31</v>
      </c>
      <c r="D9" s="36">
        <v>15</v>
      </c>
      <c r="E9" s="36">
        <v>5</v>
      </c>
      <c r="F9" s="36">
        <v>39</v>
      </c>
      <c r="G9" s="36">
        <v>26</v>
      </c>
      <c r="H9" s="29">
        <v>179</v>
      </c>
      <c r="I9" s="3">
        <v>3</v>
      </c>
      <c r="J9" s="17">
        <v>182</v>
      </c>
    </row>
    <row r="10" spans="1:10" x14ac:dyDescent="0.25">
      <c r="A10" s="16" t="s">
        <v>4</v>
      </c>
      <c r="B10" s="36">
        <v>175</v>
      </c>
      <c r="C10" s="36">
        <v>76</v>
      </c>
      <c r="D10" s="36">
        <v>32</v>
      </c>
      <c r="E10" s="36">
        <v>7</v>
      </c>
      <c r="F10" s="36">
        <v>130</v>
      </c>
      <c r="G10" s="36">
        <v>54</v>
      </c>
      <c r="H10" s="29">
        <v>474</v>
      </c>
      <c r="I10" s="3">
        <v>0</v>
      </c>
      <c r="J10" s="17">
        <v>474</v>
      </c>
    </row>
    <row r="11" spans="1:10" x14ac:dyDescent="0.25">
      <c r="A11" s="16" t="s">
        <v>5</v>
      </c>
      <c r="B11" s="37">
        <v>1373</v>
      </c>
      <c r="C11" s="37">
        <v>1822</v>
      </c>
      <c r="D11" s="37">
        <v>1220</v>
      </c>
      <c r="E11" s="36">
        <v>278</v>
      </c>
      <c r="F11" s="37">
        <v>1046</v>
      </c>
      <c r="G11" s="37">
        <v>1036</v>
      </c>
      <c r="H11" s="29">
        <v>6775</v>
      </c>
      <c r="I11" s="3">
        <v>33</v>
      </c>
      <c r="J11" s="17">
        <v>6808</v>
      </c>
    </row>
    <row r="12" spans="1:10" x14ac:dyDescent="0.25">
      <c r="A12" s="16" t="s">
        <v>6</v>
      </c>
      <c r="B12" s="37">
        <v>3495</v>
      </c>
      <c r="C12" s="37">
        <v>4929</v>
      </c>
      <c r="D12" s="37">
        <v>3133</v>
      </c>
      <c r="E12" s="36">
        <v>757</v>
      </c>
      <c r="F12" s="37">
        <v>3983</v>
      </c>
      <c r="G12" s="37">
        <v>3690</v>
      </c>
      <c r="H12" s="29">
        <v>19987</v>
      </c>
      <c r="I12" s="3">
        <v>145</v>
      </c>
      <c r="J12" s="17">
        <v>20132</v>
      </c>
    </row>
    <row r="13" spans="1:10" x14ac:dyDescent="0.25">
      <c r="A13" s="16" t="s">
        <v>7</v>
      </c>
      <c r="B13" s="37">
        <v>6671</v>
      </c>
      <c r="C13" s="37">
        <v>7543</v>
      </c>
      <c r="D13" s="37">
        <v>4819</v>
      </c>
      <c r="E13" s="37">
        <v>1302</v>
      </c>
      <c r="F13" s="37">
        <v>4306</v>
      </c>
      <c r="G13" s="37">
        <v>5224</v>
      </c>
      <c r="H13" s="29">
        <v>29865</v>
      </c>
      <c r="I13" s="3">
        <v>295</v>
      </c>
      <c r="J13" s="17">
        <v>30160</v>
      </c>
    </row>
    <row r="14" spans="1:10" x14ac:dyDescent="0.25">
      <c r="A14" s="16" t="s">
        <v>8</v>
      </c>
      <c r="B14" s="37">
        <v>10578</v>
      </c>
      <c r="C14" s="37">
        <v>11801</v>
      </c>
      <c r="D14" s="37">
        <v>3863</v>
      </c>
      <c r="E14" s="37">
        <v>1271</v>
      </c>
      <c r="F14" s="37">
        <v>3401</v>
      </c>
      <c r="G14" s="37">
        <v>2657</v>
      </c>
      <c r="H14" s="29">
        <v>33571</v>
      </c>
      <c r="I14" s="3">
        <v>372</v>
      </c>
      <c r="J14" s="17">
        <v>33943</v>
      </c>
    </row>
    <row r="15" spans="1:10" x14ac:dyDescent="0.25">
      <c r="A15" s="16" t="s">
        <v>9</v>
      </c>
      <c r="B15" s="37">
        <v>8520</v>
      </c>
      <c r="C15" s="37">
        <v>6102</v>
      </c>
      <c r="D15" s="36">
        <v>669</v>
      </c>
      <c r="E15" s="36">
        <v>274</v>
      </c>
      <c r="F15" s="37">
        <v>1200</v>
      </c>
      <c r="G15" s="36">
        <v>626</v>
      </c>
      <c r="H15" s="29">
        <v>17391</v>
      </c>
      <c r="I15" s="3">
        <v>74</v>
      </c>
      <c r="J15" s="17">
        <v>17465</v>
      </c>
    </row>
    <row r="16" spans="1:10" x14ac:dyDescent="0.25">
      <c r="A16" s="16" t="s">
        <v>10</v>
      </c>
      <c r="B16" s="37">
        <v>5741</v>
      </c>
      <c r="C16" s="37">
        <v>2407</v>
      </c>
      <c r="D16" s="36">
        <v>395</v>
      </c>
      <c r="E16" s="36">
        <v>283</v>
      </c>
      <c r="F16" s="37">
        <v>1034</v>
      </c>
      <c r="G16" s="36">
        <v>357</v>
      </c>
      <c r="H16" s="29">
        <v>10217</v>
      </c>
      <c r="I16" s="3">
        <v>33</v>
      </c>
      <c r="J16" s="17">
        <v>10250</v>
      </c>
    </row>
    <row r="17" spans="1:10" x14ac:dyDescent="0.25">
      <c r="A17" s="16" t="s">
        <v>11</v>
      </c>
      <c r="B17" s="37">
        <v>414</v>
      </c>
      <c r="C17" s="36">
        <v>107</v>
      </c>
      <c r="D17" s="36">
        <v>3</v>
      </c>
      <c r="E17" s="36">
        <v>14</v>
      </c>
      <c r="F17" s="36">
        <v>0</v>
      </c>
      <c r="G17" s="36">
        <v>0</v>
      </c>
      <c r="H17" s="29">
        <v>538</v>
      </c>
      <c r="I17" s="3">
        <v>0</v>
      </c>
      <c r="J17" s="17">
        <v>538</v>
      </c>
    </row>
    <row r="18" spans="1:10" x14ac:dyDescent="0.25">
      <c r="A18" s="16" t="s">
        <v>12</v>
      </c>
      <c r="B18" s="37">
        <v>1387</v>
      </c>
      <c r="C18" s="36">
        <v>529</v>
      </c>
      <c r="D18" s="36">
        <v>18</v>
      </c>
      <c r="E18" s="36">
        <v>35</v>
      </c>
      <c r="F18" s="36">
        <v>0</v>
      </c>
      <c r="G18" s="36">
        <v>0</v>
      </c>
      <c r="H18" s="29">
        <v>1969</v>
      </c>
      <c r="I18" s="3">
        <v>27</v>
      </c>
      <c r="J18" s="17">
        <v>1996</v>
      </c>
    </row>
    <row r="19" spans="1:10" x14ac:dyDescent="0.25">
      <c r="A19" s="16" t="s">
        <v>13</v>
      </c>
      <c r="B19" s="37">
        <v>2303</v>
      </c>
      <c r="C19" s="37">
        <v>1095</v>
      </c>
      <c r="D19" s="36">
        <v>35</v>
      </c>
      <c r="E19" s="36">
        <v>78</v>
      </c>
      <c r="F19" s="36">
        <v>0</v>
      </c>
      <c r="G19" s="36">
        <v>0</v>
      </c>
      <c r="H19" s="29">
        <v>3511</v>
      </c>
      <c r="I19" s="3">
        <v>48</v>
      </c>
      <c r="J19" s="17">
        <v>3559</v>
      </c>
    </row>
    <row r="20" spans="1:10" x14ac:dyDescent="0.25">
      <c r="A20" s="16" t="s">
        <v>14</v>
      </c>
      <c r="B20" s="37">
        <v>3298</v>
      </c>
      <c r="C20" s="37">
        <v>1238</v>
      </c>
      <c r="D20" s="36">
        <v>32</v>
      </c>
      <c r="E20" s="36">
        <v>77</v>
      </c>
      <c r="F20" s="36">
        <v>0</v>
      </c>
      <c r="G20" s="36">
        <v>0</v>
      </c>
      <c r="H20" s="29">
        <v>4645</v>
      </c>
      <c r="I20" s="3">
        <v>43</v>
      </c>
      <c r="J20" s="17">
        <v>4688</v>
      </c>
    </row>
    <row r="21" spans="1:10" x14ac:dyDescent="0.25">
      <c r="A21" s="16" t="s">
        <v>15</v>
      </c>
      <c r="B21" s="37">
        <v>1176</v>
      </c>
      <c r="C21" s="36">
        <v>496</v>
      </c>
      <c r="D21" s="36">
        <v>0</v>
      </c>
      <c r="E21" s="36">
        <v>53</v>
      </c>
      <c r="F21" s="36">
        <v>0</v>
      </c>
      <c r="G21" s="36">
        <v>0</v>
      </c>
      <c r="H21" s="29">
        <v>1725</v>
      </c>
      <c r="I21" s="3">
        <v>0</v>
      </c>
      <c r="J21" s="17">
        <v>1725</v>
      </c>
    </row>
    <row r="22" spans="1:10" x14ac:dyDescent="0.25">
      <c r="A22" s="16" t="s">
        <v>44</v>
      </c>
      <c r="B22" s="36">
        <v>1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29">
        <v>1</v>
      </c>
      <c r="I22" s="3">
        <v>0</v>
      </c>
      <c r="J22" s="17">
        <v>1</v>
      </c>
    </row>
    <row r="23" spans="1:10" ht="15.75" thickBot="1" x14ac:dyDescent="0.3">
      <c r="A23" s="18"/>
      <c r="B23" s="6"/>
      <c r="C23" s="7"/>
      <c r="D23" s="7"/>
      <c r="E23" s="7"/>
      <c r="F23" s="7"/>
      <c r="G23" s="25"/>
      <c r="H23" s="30"/>
      <c r="I23" s="6"/>
      <c r="J23" s="19"/>
    </row>
    <row r="24" spans="1:10" ht="24.95" customHeight="1" thickBot="1" x14ac:dyDescent="0.3">
      <c r="A24" s="20" t="s">
        <v>16</v>
      </c>
      <c r="B24" s="31">
        <f>SUM(B7:B22)</f>
        <v>45198</v>
      </c>
      <c r="C24" s="31">
        <f>SUM(C7:C22)</f>
        <v>38176</v>
      </c>
      <c r="D24" s="31">
        <f>SUM(D7:D22)</f>
        <v>14234</v>
      </c>
      <c r="E24" s="31">
        <f>SUM(E7:E22)</f>
        <v>4435</v>
      </c>
      <c r="F24" s="31">
        <f>SUM(F7:F22)</f>
        <v>15142</v>
      </c>
      <c r="G24" s="31">
        <f>SUM(G7:G22)</f>
        <v>13670</v>
      </c>
      <c r="H24" s="31">
        <f>SUM(H7:H22)</f>
        <v>130855</v>
      </c>
      <c r="I24" s="31">
        <f>SUM(I7:I22)</f>
        <v>1073</v>
      </c>
      <c r="J24" s="32">
        <f>SUM(J7:J22)</f>
        <v>131928</v>
      </c>
    </row>
    <row r="25" spans="1:10" x14ac:dyDescent="0.25">
      <c r="A25" s="16" t="s">
        <v>17</v>
      </c>
      <c r="B25" s="4">
        <v>2053</v>
      </c>
      <c r="C25" s="5">
        <v>1536</v>
      </c>
      <c r="D25" s="5">
        <v>346</v>
      </c>
      <c r="E25" s="5">
        <v>176</v>
      </c>
      <c r="F25" s="5">
        <v>1960</v>
      </c>
      <c r="G25" s="23">
        <v>948</v>
      </c>
      <c r="H25" s="29">
        <v>7019</v>
      </c>
      <c r="I25" s="4">
        <v>69</v>
      </c>
      <c r="J25" s="21">
        <v>7088</v>
      </c>
    </row>
    <row r="26" spans="1:10" x14ac:dyDescent="0.25">
      <c r="A26" s="16" t="s">
        <v>18</v>
      </c>
      <c r="B26" s="3">
        <v>7243</v>
      </c>
      <c r="C26" s="2">
        <v>5508</v>
      </c>
      <c r="D26" s="2">
        <v>960</v>
      </c>
      <c r="E26" s="2">
        <v>509</v>
      </c>
      <c r="F26" s="2">
        <v>4435</v>
      </c>
      <c r="G26" s="24">
        <v>2883</v>
      </c>
      <c r="H26" s="29">
        <v>21538</v>
      </c>
      <c r="I26" s="3">
        <v>125</v>
      </c>
      <c r="J26" s="21">
        <v>21663</v>
      </c>
    </row>
    <row r="27" spans="1:10" x14ac:dyDescent="0.25">
      <c r="A27" s="16" t="s">
        <v>19</v>
      </c>
      <c r="B27" s="3">
        <v>19230</v>
      </c>
      <c r="C27" s="2">
        <v>14240</v>
      </c>
      <c r="D27" s="2">
        <v>3788</v>
      </c>
      <c r="E27" s="2">
        <v>1098</v>
      </c>
      <c r="F27" s="2">
        <v>15266</v>
      </c>
      <c r="G27" s="24">
        <v>8221</v>
      </c>
      <c r="H27" s="29">
        <v>61843</v>
      </c>
      <c r="I27" s="3">
        <v>667</v>
      </c>
      <c r="J27" s="21">
        <v>62510</v>
      </c>
    </row>
    <row r="28" spans="1:10" x14ac:dyDescent="0.25">
      <c r="A28" s="16" t="s">
        <v>20</v>
      </c>
      <c r="B28" s="3">
        <v>36790</v>
      </c>
      <c r="C28" s="2">
        <v>19406</v>
      </c>
      <c r="D28" s="2">
        <v>10433</v>
      </c>
      <c r="E28" s="2">
        <v>1987</v>
      </c>
      <c r="F28" s="2">
        <v>18693</v>
      </c>
      <c r="G28" s="24">
        <v>12149</v>
      </c>
      <c r="H28" s="29">
        <v>99458</v>
      </c>
      <c r="I28" s="3">
        <v>1502</v>
      </c>
      <c r="J28" s="21">
        <v>100960</v>
      </c>
    </row>
    <row r="29" spans="1:10" x14ac:dyDescent="0.25">
      <c r="A29" s="16" t="s">
        <v>21</v>
      </c>
      <c r="B29" s="3">
        <v>61593</v>
      </c>
      <c r="C29" s="2">
        <v>33619</v>
      </c>
      <c r="D29" s="2">
        <v>13683</v>
      </c>
      <c r="E29" s="2">
        <v>4464</v>
      </c>
      <c r="F29" s="2">
        <v>20092</v>
      </c>
      <c r="G29" s="24">
        <v>12331</v>
      </c>
      <c r="H29" s="29">
        <v>145782</v>
      </c>
      <c r="I29" s="3">
        <v>1676</v>
      </c>
      <c r="J29" s="21">
        <v>147458</v>
      </c>
    </row>
    <row r="30" spans="1:10" x14ac:dyDescent="0.25">
      <c r="A30" s="16" t="s">
        <v>22</v>
      </c>
      <c r="B30" s="3">
        <v>102167</v>
      </c>
      <c r="C30" s="2">
        <v>53976</v>
      </c>
      <c r="D30" s="2">
        <v>7942</v>
      </c>
      <c r="E30" s="2">
        <v>5993</v>
      </c>
      <c r="F30" s="2">
        <v>15388</v>
      </c>
      <c r="G30" s="24">
        <v>12853</v>
      </c>
      <c r="H30" s="29">
        <v>198319</v>
      </c>
      <c r="I30" s="3">
        <v>1112</v>
      </c>
      <c r="J30" s="21">
        <v>199431</v>
      </c>
    </row>
    <row r="31" spans="1:10" x14ac:dyDescent="0.25">
      <c r="A31" s="16" t="s">
        <v>23</v>
      </c>
      <c r="B31" s="3">
        <v>35902</v>
      </c>
      <c r="C31" s="2">
        <v>16092</v>
      </c>
      <c r="D31" s="2">
        <v>4016</v>
      </c>
      <c r="E31" s="2">
        <v>14879</v>
      </c>
      <c r="F31" s="2">
        <v>11815</v>
      </c>
      <c r="G31" s="24">
        <v>3592</v>
      </c>
      <c r="H31" s="29">
        <v>86296</v>
      </c>
      <c r="I31" s="3">
        <v>103</v>
      </c>
      <c r="J31" s="21">
        <v>86399</v>
      </c>
    </row>
    <row r="32" spans="1:10" x14ac:dyDescent="0.25">
      <c r="A32" s="16" t="s">
        <v>24</v>
      </c>
      <c r="B32" s="3">
        <v>17892</v>
      </c>
      <c r="C32" s="2">
        <v>6574</v>
      </c>
      <c r="D32" s="2">
        <v>1410</v>
      </c>
      <c r="E32" s="2">
        <v>3568</v>
      </c>
      <c r="F32" s="2">
        <v>506</v>
      </c>
      <c r="G32" s="24">
        <v>718</v>
      </c>
      <c r="H32" s="29">
        <v>30668</v>
      </c>
      <c r="I32" s="3">
        <v>0</v>
      </c>
      <c r="J32" s="21">
        <v>30668</v>
      </c>
    </row>
    <row r="33" spans="1:10" x14ac:dyDescent="0.25">
      <c r="A33" s="16" t="s">
        <v>25</v>
      </c>
      <c r="B33" s="2">
        <v>12700</v>
      </c>
      <c r="C33" s="2">
        <v>7904</v>
      </c>
      <c r="D33" s="2">
        <v>927</v>
      </c>
      <c r="E33" s="2">
        <v>1337</v>
      </c>
      <c r="F33" s="2">
        <v>952</v>
      </c>
      <c r="G33" s="24">
        <v>1112</v>
      </c>
      <c r="H33" s="29">
        <v>24932</v>
      </c>
      <c r="I33" s="3">
        <v>0</v>
      </c>
      <c r="J33" s="21">
        <v>24932</v>
      </c>
    </row>
    <row r="34" spans="1:10" x14ac:dyDescent="0.25">
      <c r="A34" s="16" t="s">
        <v>43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41">
        <v>0</v>
      </c>
      <c r="H34" s="29">
        <v>0</v>
      </c>
      <c r="I34" s="3">
        <v>0</v>
      </c>
      <c r="J34" s="21">
        <v>0</v>
      </c>
    </row>
    <row r="35" spans="1:10" ht="15.75" thickBot="1" x14ac:dyDescent="0.3">
      <c r="A35" s="16"/>
      <c r="B35" s="8"/>
      <c r="C35" s="8"/>
      <c r="D35" s="8"/>
      <c r="E35" s="8"/>
      <c r="F35" s="8"/>
      <c r="G35" s="38"/>
      <c r="H35" s="40"/>
      <c r="I35" s="8"/>
      <c r="J35" s="39"/>
    </row>
    <row r="36" spans="1:10" ht="15.75" thickBot="1" x14ac:dyDescent="0.3">
      <c r="A36" s="20" t="s">
        <v>26</v>
      </c>
      <c r="B36" s="31">
        <f>SUM(B25:B34)</f>
        <v>295570</v>
      </c>
      <c r="C36" s="31">
        <f>SUM(C25:C34)</f>
        <v>158855</v>
      </c>
      <c r="D36" s="31">
        <f>SUM(D25:D34)</f>
        <v>43505</v>
      </c>
      <c r="E36" s="31">
        <f>SUM(E25:E34)</f>
        <v>34011</v>
      </c>
      <c r="F36" s="31">
        <f>SUM(F25:F34)</f>
        <v>89107</v>
      </c>
      <c r="G36" s="31">
        <f>SUM(G25:G34)</f>
        <v>54807</v>
      </c>
      <c r="H36" s="31">
        <f>SUM(H25:H34)</f>
        <v>675855</v>
      </c>
      <c r="I36" s="31">
        <f>SUM(I25:I34)</f>
        <v>5254</v>
      </c>
      <c r="J36" s="32">
        <f>SUM(J25:J34)</f>
        <v>681109</v>
      </c>
    </row>
    <row r="37" spans="1:10" ht="16.5" thickTop="1" thickBot="1" x14ac:dyDescent="0.3">
      <c r="A37" s="9" t="s">
        <v>27</v>
      </c>
      <c r="B37" s="33">
        <f>SUM(B24,B36)</f>
        <v>340768</v>
      </c>
      <c r="C37" s="33">
        <f>SUM(C24,C36)</f>
        <v>197031</v>
      </c>
      <c r="D37" s="33">
        <f>SUM(D24,D36)</f>
        <v>57739</v>
      </c>
      <c r="E37" s="33">
        <f>SUM(E24,E36)</f>
        <v>38446</v>
      </c>
      <c r="F37" s="33">
        <f>SUM(F24,F36)</f>
        <v>104249</v>
      </c>
      <c r="G37" s="34">
        <f>SUM(G24,G36)</f>
        <v>68477</v>
      </c>
      <c r="H37" s="27">
        <f>SUM(H24,H36)</f>
        <v>806710</v>
      </c>
      <c r="I37" s="33">
        <f>SUM(I24,I36)</f>
        <v>6327</v>
      </c>
      <c r="J37" s="35">
        <f>SUM(J24,J36)</f>
        <v>813037</v>
      </c>
    </row>
    <row r="38" spans="1:10" ht="15.75" thickTop="1" x14ac:dyDescent="0.25">
      <c r="B38" s="10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2" width="15.85546875" customWidth="1"/>
    <col min="3" max="10" width="15.7109375" customWidth="1"/>
  </cols>
  <sheetData>
    <row r="1" spans="1:10" ht="19.5" thickTop="1" x14ac:dyDescent="0.3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75" x14ac:dyDescent="0.3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75" x14ac:dyDescent="0.3">
      <c r="A3" s="48" t="s">
        <v>53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.5" thickBot="1" x14ac:dyDescent="0.3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.75" thickBot="1" x14ac:dyDescent="0.3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1" customFormat="1" ht="30.75" thickBot="1" x14ac:dyDescent="0.3">
      <c r="A6" s="14" t="s">
        <v>0</v>
      </c>
      <c r="B6" s="12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22" t="s">
        <v>35</v>
      </c>
      <c r="H6" s="28" t="s">
        <v>36</v>
      </c>
      <c r="I6" s="26" t="s">
        <v>39</v>
      </c>
      <c r="J6" s="15" t="s">
        <v>37</v>
      </c>
    </row>
    <row r="7" spans="1:10" ht="15.75" thickTop="1" x14ac:dyDescent="0.25">
      <c r="A7" s="16" t="s">
        <v>1</v>
      </c>
      <c r="B7" s="36">
        <v>0</v>
      </c>
      <c r="C7" s="36">
        <v>0</v>
      </c>
      <c r="D7" s="36">
        <v>0</v>
      </c>
      <c r="E7" s="36">
        <v>0</v>
      </c>
      <c r="F7" s="36">
        <v>1</v>
      </c>
      <c r="G7" s="36">
        <v>0</v>
      </c>
      <c r="H7" s="29">
        <v>1</v>
      </c>
      <c r="I7" s="4">
        <v>0</v>
      </c>
      <c r="J7" s="17">
        <v>1</v>
      </c>
    </row>
    <row r="8" spans="1:10" x14ac:dyDescent="0.25">
      <c r="A8" s="16" t="s">
        <v>2</v>
      </c>
      <c r="B8" s="36">
        <v>3</v>
      </c>
      <c r="C8" s="36">
        <v>0</v>
      </c>
      <c r="D8" s="36">
        <v>0</v>
      </c>
      <c r="E8" s="36">
        <v>1</v>
      </c>
      <c r="F8" s="36">
        <v>2</v>
      </c>
      <c r="G8" s="36">
        <v>0</v>
      </c>
      <c r="H8" s="29">
        <v>6</v>
      </c>
      <c r="I8" s="3">
        <v>0</v>
      </c>
      <c r="J8" s="17">
        <v>6</v>
      </c>
    </row>
    <row r="9" spans="1:10" x14ac:dyDescent="0.25">
      <c r="A9" s="16" t="s">
        <v>3</v>
      </c>
      <c r="B9" s="36">
        <v>68</v>
      </c>
      <c r="C9" s="36">
        <v>31</v>
      </c>
      <c r="D9" s="36">
        <v>15</v>
      </c>
      <c r="E9" s="36">
        <v>5</v>
      </c>
      <c r="F9" s="36">
        <v>40</v>
      </c>
      <c r="G9" s="36">
        <v>26</v>
      </c>
      <c r="H9" s="29">
        <v>185</v>
      </c>
      <c r="I9" s="3">
        <v>1</v>
      </c>
      <c r="J9" s="17">
        <v>186</v>
      </c>
    </row>
    <row r="10" spans="1:10" x14ac:dyDescent="0.25">
      <c r="A10" s="16" t="s">
        <v>4</v>
      </c>
      <c r="B10" s="36">
        <v>169</v>
      </c>
      <c r="C10" s="36">
        <v>77</v>
      </c>
      <c r="D10" s="36">
        <v>32</v>
      </c>
      <c r="E10" s="36">
        <v>7</v>
      </c>
      <c r="F10" s="36">
        <v>128</v>
      </c>
      <c r="G10" s="36">
        <v>52</v>
      </c>
      <c r="H10" s="29">
        <v>465</v>
      </c>
      <c r="I10" s="3">
        <v>0</v>
      </c>
      <c r="J10" s="17">
        <v>465</v>
      </c>
    </row>
    <row r="11" spans="1:10" x14ac:dyDescent="0.25">
      <c r="A11" s="16" t="s">
        <v>5</v>
      </c>
      <c r="B11" s="37">
        <v>1378</v>
      </c>
      <c r="C11" s="37">
        <v>1804</v>
      </c>
      <c r="D11" s="37">
        <v>1233</v>
      </c>
      <c r="E11" s="36">
        <v>277</v>
      </c>
      <c r="F11" s="37">
        <v>1050</v>
      </c>
      <c r="G11" s="37">
        <v>1042</v>
      </c>
      <c r="H11" s="29">
        <v>6784</v>
      </c>
      <c r="I11" s="3">
        <v>35</v>
      </c>
      <c r="J11" s="17">
        <v>6819</v>
      </c>
    </row>
    <row r="12" spans="1:10" x14ac:dyDescent="0.25">
      <c r="A12" s="16" t="s">
        <v>6</v>
      </c>
      <c r="B12" s="37">
        <v>3525</v>
      </c>
      <c r="C12" s="37">
        <v>4941</v>
      </c>
      <c r="D12" s="37">
        <v>3170</v>
      </c>
      <c r="E12" s="36">
        <v>755</v>
      </c>
      <c r="F12" s="37">
        <v>3980</v>
      </c>
      <c r="G12" s="37">
        <v>3646</v>
      </c>
      <c r="H12" s="29">
        <v>20017</v>
      </c>
      <c r="I12" s="3">
        <v>147</v>
      </c>
      <c r="J12" s="17">
        <v>20164</v>
      </c>
    </row>
    <row r="13" spans="1:10" x14ac:dyDescent="0.25">
      <c r="A13" s="16" t="s">
        <v>7</v>
      </c>
      <c r="B13" s="37">
        <v>6581</v>
      </c>
      <c r="C13" s="37">
        <v>7480</v>
      </c>
      <c r="D13" s="37">
        <v>4855</v>
      </c>
      <c r="E13" s="37">
        <v>1302</v>
      </c>
      <c r="F13" s="37">
        <v>4329</v>
      </c>
      <c r="G13" s="37">
        <v>5247</v>
      </c>
      <c r="H13" s="29">
        <v>29794</v>
      </c>
      <c r="I13" s="3">
        <v>320</v>
      </c>
      <c r="J13" s="17">
        <v>30114</v>
      </c>
    </row>
    <row r="14" spans="1:10" x14ac:dyDescent="0.25">
      <c r="A14" s="16" t="s">
        <v>8</v>
      </c>
      <c r="B14" s="37">
        <v>10553</v>
      </c>
      <c r="C14" s="37">
        <v>11816</v>
      </c>
      <c r="D14" s="37">
        <v>3808</v>
      </c>
      <c r="E14" s="37">
        <v>1269</v>
      </c>
      <c r="F14" s="37">
        <v>3360</v>
      </c>
      <c r="G14" s="37">
        <v>2661</v>
      </c>
      <c r="H14" s="29">
        <v>33467</v>
      </c>
      <c r="I14" s="3">
        <v>336</v>
      </c>
      <c r="J14" s="17">
        <v>33803</v>
      </c>
    </row>
    <row r="15" spans="1:10" x14ac:dyDescent="0.25">
      <c r="A15" s="16" t="s">
        <v>9</v>
      </c>
      <c r="B15" s="37">
        <v>8469</v>
      </c>
      <c r="C15" s="37">
        <v>6151</v>
      </c>
      <c r="D15" s="36">
        <v>653</v>
      </c>
      <c r="E15" s="36">
        <v>268</v>
      </c>
      <c r="F15" s="37">
        <v>1227</v>
      </c>
      <c r="G15" s="36">
        <v>650</v>
      </c>
      <c r="H15" s="29">
        <v>17418</v>
      </c>
      <c r="I15" s="3">
        <v>55</v>
      </c>
      <c r="J15" s="17">
        <v>17473</v>
      </c>
    </row>
    <row r="16" spans="1:10" x14ac:dyDescent="0.25">
      <c r="A16" s="16" t="s">
        <v>10</v>
      </c>
      <c r="B16" s="37">
        <v>5969</v>
      </c>
      <c r="C16" s="37">
        <v>2399</v>
      </c>
      <c r="D16" s="36">
        <v>400</v>
      </c>
      <c r="E16" s="36">
        <v>281</v>
      </c>
      <c r="F16" s="37">
        <v>1042</v>
      </c>
      <c r="G16" s="36">
        <v>342</v>
      </c>
      <c r="H16" s="29">
        <v>10433</v>
      </c>
      <c r="I16" s="3">
        <v>35</v>
      </c>
      <c r="J16" s="17">
        <v>10468</v>
      </c>
    </row>
    <row r="17" spans="1:10" x14ac:dyDescent="0.25">
      <c r="A17" s="16" t="s">
        <v>11</v>
      </c>
      <c r="B17" s="37">
        <v>407</v>
      </c>
      <c r="C17" s="36">
        <v>105</v>
      </c>
      <c r="D17" s="36">
        <v>3</v>
      </c>
      <c r="E17" s="36">
        <v>15</v>
      </c>
      <c r="F17" s="36">
        <v>0</v>
      </c>
      <c r="G17" s="36">
        <v>0</v>
      </c>
      <c r="H17" s="29">
        <v>530</v>
      </c>
      <c r="I17" s="3">
        <v>0</v>
      </c>
      <c r="J17" s="17">
        <v>530</v>
      </c>
    </row>
    <row r="18" spans="1:10" x14ac:dyDescent="0.25">
      <c r="A18" s="16" t="s">
        <v>12</v>
      </c>
      <c r="B18" s="37">
        <v>1378</v>
      </c>
      <c r="C18" s="37">
        <v>528</v>
      </c>
      <c r="D18" s="36">
        <v>18</v>
      </c>
      <c r="E18" s="36">
        <v>35</v>
      </c>
      <c r="F18" s="36">
        <v>0</v>
      </c>
      <c r="G18" s="36">
        <v>0</v>
      </c>
      <c r="H18" s="29">
        <v>1959</v>
      </c>
      <c r="I18" s="3">
        <v>31</v>
      </c>
      <c r="J18" s="17">
        <v>1990</v>
      </c>
    </row>
    <row r="19" spans="1:10" x14ac:dyDescent="0.25">
      <c r="A19" s="16" t="s">
        <v>13</v>
      </c>
      <c r="B19" s="37">
        <v>2293</v>
      </c>
      <c r="C19" s="37">
        <v>1108</v>
      </c>
      <c r="D19" s="36">
        <v>35</v>
      </c>
      <c r="E19" s="36">
        <v>87</v>
      </c>
      <c r="F19" s="36">
        <v>0</v>
      </c>
      <c r="G19" s="36">
        <v>0</v>
      </c>
      <c r="H19" s="29">
        <v>3523</v>
      </c>
      <c r="I19" s="3">
        <v>43</v>
      </c>
      <c r="J19" s="17">
        <v>3566</v>
      </c>
    </row>
    <row r="20" spans="1:10" x14ac:dyDescent="0.25">
      <c r="A20" s="16" t="s">
        <v>14</v>
      </c>
      <c r="B20" s="37">
        <v>3292</v>
      </c>
      <c r="C20" s="36">
        <v>1219</v>
      </c>
      <c r="D20" s="36">
        <v>32</v>
      </c>
      <c r="E20" s="36">
        <v>66</v>
      </c>
      <c r="F20" s="36">
        <v>0</v>
      </c>
      <c r="G20" s="36">
        <v>0</v>
      </c>
      <c r="H20" s="29">
        <v>4609</v>
      </c>
      <c r="I20" s="3">
        <v>42</v>
      </c>
      <c r="J20" s="17">
        <v>4651</v>
      </c>
    </row>
    <row r="21" spans="1:10" x14ac:dyDescent="0.25">
      <c r="A21" s="16" t="s">
        <v>15</v>
      </c>
      <c r="B21" s="36">
        <v>1211</v>
      </c>
      <c r="C21" s="36">
        <v>518</v>
      </c>
      <c r="D21" s="36">
        <v>0</v>
      </c>
      <c r="E21" s="36">
        <v>53</v>
      </c>
      <c r="F21" s="36">
        <v>0</v>
      </c>
      <c r="G21" s="36">
        <v>0</v>
      </c>
      <c r="H21" s="29">
        <v>1782</v>
      </c>
      <c r="I21" s="3">
        <v>0</v>
      </c>
      <c r="J21" s="17">
        <v>1782</v>
      </c>
    </row>
    <row r="22" spans="1:10" x14ac:dyDescent="0.25">
      <c r="A22" s="16" t="s">
        <v>44</v>
      </c>
      <c r="B22" s="37">
        <v>1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29">
        <v>1</v>
      </c>
      <c r="I22" s="3">
        <v>0</v>
      </c>
      <c r="J22" s="17">
        <v>1</v>
      </c>
    </row>
    <row r="23" spans="1:10" ht="15.75" thickBot="1" x14ac:dyDescent="0.3">
      <c r="A23" s="18"/>
      <c r="B23" s="6"/>
      <c r="C23" s="7"/>
      <c r="D23" s="7"/>
      <c r="E23" s="7"/>
      <c r="F23" s="7"/>
      <c r="G23" s="25"/>
      <c r="H23" s="30"/>
      <c r="I23" s="6"/>
      <c r="J23" s="19"/>
    </row>
    <row r="24" spans="1:10" ht="24.95" customHeight="1" thickBot="1" x14ac:dyDescent="0.3">
      <c r="A24" s="20" t="s">
        <v>16</v>
      </c>
      <c r="B24" s="31">
        <f>SUM(B7:B22)</f>
        <v>45297</v>
      </c>
      <c r="C24" s="31">
        <f>SUM(C7:C22)</f>
        <v>38177</v>
      </c>
      <c r="D24" s="31">
        <f>SUM(D7:D22)</f>
        <v>14254</v>
      </c>
      <c r="E24" s="31">
        <f>SUM(E7:E22)</f>
        <v>4421</v>
      </c>
      <c r="F24" s="31">
        <f>SUM(F7:F22)</f>
        <v>15159</v>
      </c>
      <c r="G24" s="31">
        <f>SUM(G7:G22)</f>
        <v>13666</v>
      </c>
      <c r="H24" s="31">
        <f>SUM(H7:H22)</f>
        <v>130974</v>
      </c>
      <c r="I24" s="31">
        <f>SUM(I7:I22)</f>
        <v>1045</v>
      </c>
      <c r="J24" s="31">
        <f>SUM(J7:J22)</f>
        <v>132019</v>
      </c>
    </row>
    <row r="25" spans="1:10" x14ac:dyDescent="0.25">
      <c r="A25" s="16" t="s">
        <v>17</v>
      </c>
      <c r="B25" s="4">
        <v>2041</v>
      </c>
      <c r="C25" s="5">
        <v>1534</v>
      </c>
      <c r="D25" s="5">
        <v>343</v>
      </c>
      <c r="E25" s="5">
        <v>178</v>
      </c>
      <c r="F25" s="5">
        <v>1973</v>
      </c>
      <c r="G25" s="23">
        <v>955</v>
      </c>
      <c r="H25" s="29">
        <v>7024</v>
      </c>
      <c r="I25" s="4">
        <v>69</v>
      </c>
      <c r="J25" s="21">
        <v>7093</v>
      </c>
    </row>
    <row r="26" spans="1:10" x14ac:dyDescent="0.25">
      <c r="A26" s="16" t="s">
        <v>18</v>
      </c>
      <c r="B26" s="3">
        <v>7271</v>
      </c>
      <c r="C26" s="2">
        <v>5452</v>
      </c>
      <c r="D26" s="2">
        <v>968</v>
      </c>
      <c r="E26" s="2">
        <v>501</v>
      </c>
      <c r="F26" s="2">
        <v>4432</v>
      </c>
      <c r="G26" s="24">
        <v>2885</v>
      </c>
      <c r="H26" s="29">
        <v>21509</v>
      </c>
      <c r="I26" s="3">
        <v>125</v>
      </c>
      <c r="J26" s="21">
        <v>21634</v>
      </c>
    </row>
    <row r="27" spans="1:10" x14ac:dyDescent="0.25">
      <c r="A27" s="16" t="s">
        <v>19</v>
      </c>
      <c r="B27" s="3">
        <v>19186</v>
      </c>
      <c r="C27" s="2">
        <v>14369</v>
      </c>
      <c r="D27" s="2">
        <v>3820</v>
      </c>
      <c r="E27" s="2">
        <v>1101</v>
      </c>
      <c r="F27" s="2">
        <v>15304</v>
      </c>
      <c r="G27" s="24">
        <v>8215</v>
      </c>
      <c r="H27" s="29">
        <v>61995</v>
      </c>
      <c r="I27" s="3">
        <v>665</v>
      </c>
      <c r="J27" s="21">
        <v>62660</v>
      </c>
    </row>
    <row r="28" spans="1:10" x14ac:dyDescent="0.25">
      <c r="A28" s="16" t="s">
        <v>20</v>
      </c>
      <c r="B28" s="3">
        <v>36819</v>
      </c>
      <c r="C28" s="2">
        <v>19337</v>
      </c>
      <c r="D28" s="2">
        <v>10554</v>
      </c>
      <c r="E28" s="2">
        <v>1990</v>
      </c>
      <c r="F28" s="2">
        <v>18750</v>
      </c>
      <c r="G28" s="24">
        <v>12188</v>
      </c>
      <c r="H28" s="29">
        <v>99638</v>
      </c>
      <c r="I28" s="3">
        <v>1514</v>
      </c>
      <c r="J28" s="21">
        <v>101152</v>
      </c>
    </row>
    <row r="29" spans="1:10" x14ac:dyDescent="0.25">
      <c r="A29" s="16" t="s">
        <v>21</v>
      </c>
      <c r="B29" s="3">
        <v>61397</v>
      </c>
      <c r="C29" s="2">
        <v>33070</v>
      </c>
      <c r="D29" s="2">
        <v>13700</v>
      </c>
      <c r="E29" s="2">
        <v>4858</v>
      </c>
      <c r="F29" s="2">
        <v>20168</v>
      </c>
      <c r="G29" s="24">
        <v>12434</v>
      </c>
      <c r="H29" s="29">
        <v>145627</v>
      </c>
      <c r="I29" s="3">
        <v>1691</v>
      </c>
      <c r="J29" s="21">
        <v>147318</v>
      </c>
    </row>
    <row r="30" spans="1:10" x14ac:dyDescent="0.25">
      <c r="A30" s="16" t="s">
        <v>22</v>
      </c>
      <c r="B30" s="3">
        <v>102589</v>
      </c>
      <c r="C30" s="2">
        <v>54024</v>
      </c>
      <c r="D30" s="2">
        <v>7904</v>
      </c>
      <c r="E30" s="2">
        <v>6364</v>
      </c>
      <c r="F30" s="2">
        <v>15345</v>
      </c>
      <c r="G30" s="24">
        <v>12793</v>
      </c>
      <c r="H30" s="29">
        <v>199019</v>
      </c>
      <c r="I30" s="3">
        <v>1105</v>
      </c>
      <c r="J30" s="21">
        <v>200124</v>
      </c>
    </row>
    <row r="31" spans="1:10" x14ac:dyDescent="0.25">
      <c r="A31" s="16" t="s">
        <v>23</v>
      </c>
      <c r="B31" s="3">
        <v>35725</v>
      </c>
      <c r="C31" s="2">
        <v>15988</v>
      </c>
      <c r="D31" s="2">
        <v>3884</v>
      </c>
      <c r="E31" s="2">
        <v>14127</v>
      </c>
      <c r="F31" s="2">
        <v>11875</v>
      </c>
      <c r="G31" s="24">
        <v>3608</v>
      </c>
      <c r="H31" s="29">
        <v>85207</v>
      </c>
      <c r="I31" s="3">
        <v>113</v>
      </c>
      <c r="J31" s="21">
        <v>85320</v>
      </c>
    </row>
    <row r="32" spans="1:10" x14ac:dyDescent="0.25">
      <c r="A32" s="16" t="s">
        <v>24</v>
      </c>
      <c r="B32" s="3">
        <v>17984</v>
      </c>
      <c r="C32" s="2">
        <v>6648</v>
      </c>
      <c r="D32" s="2">
        <v>1408</v>
      </c>
      <c r="E32" s="2">
        <v>3724</v>
      </c>
      <c r="F32" s="2">
        <v>505</v>
      </c>
      <c r="G32" s="24">
        <v>717</v>
      </c>
      <c r="H32" s="29">
        <v>30986</v>
      </c>
      <c r="I32" s="3">
        <v>0</v>
      </c>
      <c r="J32" s="21">
        <v>30986</v>
      </c>
    </row>
    <row r="33" spans="1:10" x14ac:dyDescent="0.25">
      <c r="A33" s="16" t="s">
        <v>25</v>
      </c>
      <c r="B33" s="2">
        <v>12545</v>
      </c>
      <c r="C33" s="2">
        <v>7846</v>
      </c>
      <c r="D33" s="2">
        <v>985</v>
      </c>
      <c r="E33" s="2">
        <v>1609</v>
      </c>
      <c r="F33" s="2">
        <v>872</v>
      </c>
      <c r="G33" s="24">
        <v>1113</v>
      </c>
      <c r="H33" s="29">
        <v>24970</v>
      </c>
      <c r="I33" s="3">
        <v>0</v>
      </c>
      <c r="J33" s="21">
        <v>24970</v>
      </c>
    </row>
    <row r="34" spans="1:10" x14ac:dyDescent="0.25">
      <c r="A34" s="16" t="s">
        <v>43</v>
      </c>
      <c r="B34" s="2">
        <v>0</v>
      </c>
      <c r="C34" s="2">
        <v>0</v>
      </c>
      <c r="D34" s="2">
        <v>0</v>
      </c>
      <c r="E34" s="2">
        <v>0</v>
      </c>
      <c r="F34" s="2">
        <v>1</v>
      </c>
      <c r="G34" s="41">
        <v>0</v>
      </c>
      <c r="H34" s="29">
        <v>1</v>
      </c>
      <c r="I34" s="3">
        <v>0</v>
      </c>
      <c r="J34" s="21">
        <v>1</v>
      </c>
    </row>
    <row r="35" spans="1:10" ht="15.75" thickBot="1" x14ac:dyDescent="0.3">
      <c r="A35" s="16"/>
      <c r="B35" s="8"/>
      <c r="C35" s="8"/>
      <c r="D35" s="8"/>
      <c r="E35" s="8"/>
      <c r="F35" s="8"/>
      <c r="G35" s="38"/>
      <c r="H35" s="40"/>
      <c r="I35" s="8"/>
      <c r="J35" s="39"/>
    </row>
    <row r="36" spans="1:10" ht="15.75" thickBot="1" x14ac:dyDescent="0.3">
      <c r="A36" s="20" t="s">
        <v>26</v>
      </c>
      <c r="B36" s="31">
        <f>SUM(B25:B34)</f>
        <v>295557</v>
      </c>
      <c r="C36" s="31">
        <f>SUM(C25:C34)</f>
        <v>158268</v>
      </c>
      <c r="D36" s="31">
        <f>SUM(D25:D34)</f>
        <v>43566</v>
      </c>
      <c r="E36" s="31">
        <f>SUM(E25:E34)</f>
        <v>34452</v>
      </c>
      <c r="F36" s="31">
        <f>SUM(F25:F34)</f>
        <v>89225</v>
      </c>
      <c r="G36" s="31">
        <f>SUM(G25:G34)</f>
        <v>54908</v>
      </c>
      <c r="H36" s="31">
        <f>SUM(H25:H34)</f>
        <v>675976</v>
      </c>
      <c r="I36" s="31">
        <f>SUM(I25:I34)</f>
        <v>5282</v>
      </c>
      <c r="J36" s="32">
        <f>SUM(J25:J34)</f>
        <v>681258</v>
      </c>
    </row>
    <row r="37" spans="1:10" ht="16.5" thickTop="1" thickBot="1" x14ac:dyDescent="0.3">
      <c r="A37" s="9" t="s">
        <v>27</v>
      </c>
      <c r="B37" s="33">
        <f>SUM(B24,B36)</f>
        <v>340854</v>
      </c>
      <c r="C37" s="33">
        <f>SUM(C24,C36)</f>
        <v>196445</v>
      </c>
      <c r="D37" s="33">
        <f>SUM(D24,D36)</f>
        <v>57820</v>
      </c>
      <c r="E37" s="33">
        <f>SUM(E24,E36)</f>
        <v>38873</v>
      </c>
      <c r="F37" s="33">
        <f>SUM(F24,F36)</f>
        <v>104384</v>
      </c>
      <c r="G37" s="34">
        <f>SUM(G24,G36)</f>
        <v>68574</v>
      </c>
      <c r="H37" s="27">
        <f>SUM(H24,H36)</f>
        <v>806950</v>
      </c>
      <c r="I37" s="33">
        <f>SUM(I24,I36)</f>
        <v>6327</v>
      </c>
      <c r="J37" s="35">
        <f>SUM(J24,J36)</f>
        <v>813277</v>
      </c>
    </row>
    <row r="38" spans="1:10" ht="15.75" thickTop="1" x14ac:dyDescent="0.25">
      <c r="B38" s="10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2" width="15.85546875" customWidth="1"/>
    <col min="3" max="10" width="15.7109375" customWidth="1"/>
  </cols>
  <sheetData>
    <row r="1" spans="1:10" ht="19.5" thickTop="1" x14ac:dyDescent="0.3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75" x14ac:dyDescent="0.3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75" x14ac:dyDescent="0.3">
      <c r="A3" s="48" t="s">
        <v>56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.5" thickBot="1" x14ac:dyDescent="0.3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.75" thickBot="1" x14ac:dyDescent="0.3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1" customFormat="1" ht="30.75" thickBot="1" x14ac:dyDescent="0.3">
      <c r="A6" s="14" t="s">
        <v>0</v>
      </c>
      <c r="B6" s="12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22" t="s">
        <v>35</v>
      </c>
      <c r="H6" s="28" t="s">
        <v>36</v>
      </c>
      <c r="I6" s="26" t="s">
        <v>39</v>
      </c>
      <c r="J6" s="15" t="s">
        <v>37</v>
      </c>
    </row>
    <row r="7" spans="1:10" ht="15.75" thickTop="1" x14ac:dyDescent="0.25">
      <c r="A7" s="16" t="s">
        <v>1</v>
      </c>
      <c r="B7" s="36">
        <v>0</v>
      </c>
      <c r="C7" s="36">
        <v>0</v>
      </c>
      <c r="D7" s="36">
        <v>0</v>
      </c>
      <c r="E7" s="36">
        <v>0</v>
      </c>
      <c r="F7" s="36">
        <v>1</v>
      </c>
      <c r="G7" s="36">
        <v>0</v>
      </c>
      <c r="H7" s="29">
        <v>1</v>
      </c>
      <c r="I7" s="4">
        <v>0</v>
      </c>
      <c r="J7" s="17">
        <v>1</v>
      </c>
    </row>
    <row r="8" spans="1:10" x14ac:dyDescent="0.25">
      <c r="A8" s="16" t="s">
        <v>2</v>
      </c>
      <c r="B8" s="36">
        <v>3</v>
      </c>
      <c r="C8" s="36">
        <v>0</v>
      </c>
      <c r="D8" s="36">
        <v>0</v>
      </c>
      <c r="E8" s="36">
        <v>1</v>
      </c>
      <c r="F8" s="36">
        <v>2</v>
      </c>
      <c r="G8" s="36">
        <v>0</v>
      </c>
      <c r="H8" s="29">
        <v>6</v>
      </c>
      <c r="I8" s="3">
        <v>0</v>
      </c>
      <c r="J8" s="17">
        <v>6</v>
      </c>
    </row>
    <row r="9" spans="1:10" x14ac:dyDescent="0.25">
      <c r="A9" s="16" t="s">
        <v>3</v>
      </c>
      <c r="B9" s="36">
        <v>71</v>
      </c>
      <c r="C9" s="36">
        <v>28</v>
      </c>
      <c r="D9" s="36">
        <v>15</v>
      </c>
      <c r="E9" s="36">
        <v>5</v>
      </c>
      <c r="F9" s="36">
        <v>42</v>
      </c>
      <c r="G9" s="36">
        <v>25</v>
      </c>
      <c r="H9" s="29">
        <v>186</v>
      </c>
      <c r="I9" s="3">
        <v>2</v>
      </c>
      <c r="J9" s="17">
        <v>188</v>
      </c>
    </row>
    <row r="10" spans="1:10" x14ac:dyDescent="0.25">
      <c r="A10" s="16" t="s">
        <v>4</v>
      </c>
      <c r="B10" s="36">
        <v>170</v>
      </c>
      <c r="C10" s="36">
        <v>79</v>
      </c>
      <c r="D10" s="36">
        <v>32</v>
      </c>
      <c r="E10" s="36">
        <v>6</v>
      </c>
      <c r="F10" s="36">
        <v>125</v>
      </c>
      <c r="G10" s="36">
        <v>52</v>
      </c>
      <c r="H10" s="29">
        <v>464</v>
      </c>
      <c r="I10" s="3">
        <v>0</v>
      </c>
      <c r="J10" s="17">
        <v>464</v>
      </c>
    </row>
    <row r="11" spans="1:10" x14ac:dyDescent="0.25">
      <c r="A11" s="16" t="s">
        <v>5</v>
      </c>
      <c r="B11" s="37">
        <v>1386</v>
      </c>
      <c r="C11" s="37">
        <v>1858</v>
      </c>
      <c r="D11" s="37">
        <v>1250</v>
      </c>
      <c r="E11" s="36">
        <v>282</v>
      </c>
      <c r="F11" s="37">
        <v>1049</v>
      </c>
      <c r="G11" s="37">
        <v>1043</v>
      </c>
      <c r="H11" s="29">
        <v>6868</v>
      </c>
      <c r="I11" s="3">
        <v>36</v>
      </c>
      <c r="J11" s="17">
        <v>6904</v>
      </c>
    </row>
    <row r="12" spans="1:10" x14ac:dyDescent="0.25">
      <c r="A12" s="16" t="s">
        <v>6</v>
      </c>
      <c r="B12" s="37">
        <v>3562</v>
      </c>
      <c r="C12" s="37">
        <v>4986</v>
      </c>
      <c r="D12" s="37">
        <v>3217</v>
      </c>
      <c r="E12" s="36">
        <v>750</v>
      </c>
      <c r="F12" s="37">
        <v>3946</v>
      </c>
      <c r="G12" s="37">
        <v>3703</v>
      </c>
      <c r="H12" s="29">
        <v>20164</v>
      </c>
      <c r="I12" s="3">
        <v>142</v>
      </c>
      <c r="J12" s="17">
        <v>20306</v>
      </c>
    </row>
    <row r="13" spans="1:10" x14ac:dyDescent="0.25">
      <c r="A13" s="16" t="s">
        <v>7</v>
      </c>
      <c r="B13" s="37">
        <v>6598</v>
      </c>
      <c r="C13" s="37">
        <v>7324</v>
      </c>
      <c r="D13" s="37">
        <v>4857</v>
      </c>
      <c r="E13" s="37">
        <v>1311</v>
      </c>
      <c r="F13" s="37">
        <v>4342</v>
      </c>
      <c r="G13" s="37">
        <v>5180</v>
      </c>
      <c r="H13" s="29">
        <v>29612</v>
      </c>
      <c r="I13" s="3">
        <v>318</v>
      </c>
      <c r="J13" s="17">
        <v>29930</v>
      </c>
    </row>
    <row r="14" spans="1:10" x14ac:dyDescent="0.25">
      <c r="A14" s="16" t="s">
        <v>8</v>
      </c>
      <c r="B14" s="37">
        <v>10687</v>
      </c>
      <c r="C14" s="37">
        <v>11807</v>
      </c>
      <c r="D14" s="37">
        <v>3738</v>
      </c>
      <c r="E14" s="37">
        <v>1262</v>
      </c>
      <c r="F14" s="37">
        <v>3392</v>
      </c>
      <c r="G14" s="37">
        <v>2681</v>
      </c>
      <c r="H14" s="29">
        <v>33567</v>
      </c>
      <c r="I14" s="3">
        <v>327</v>
      </c>
      <c r="J14" s="17">
        <v>33894</v>
      </c>
    </row>
    <row r="15" spans="1:10" x14ac:dyDescent="0.25">
      <c r="A15" s="16" t="s">
        <v>9</v>
      </c>
      <c r="B15" s="37">
        <v>8169</v>
      </c>
      <c r="C15" s="37">
        <v>6126</v>
      </c>
      <c r="D15" s="36">
        <v>652</v>
      </c>
      <c r="E15" s="36">
        <v>304</v>
      </c>
      <c r="F15" s="37">
        <v>1210</v>
      </c>
      <c r="G15" s="36">
        <v>649</v>
      </c>
      <c r="H15" s="29">
        <v>17110</v>
      </c>
      <c r="I15" s="3">
        <v>54</v>
      </c>
      <c r="J15" s="17">
        <v>17164</v>
      </c>
    </row>
    <row r="16" spans="1:10" x14ac:dyDescent="0.25">
      <c r="A16" s="16" t="s">
        <v>10</v>
      </c>
      <c r="B16" s="37">
        <v>6328</v>
      </c>
      <c r="C16" s="37">
        <v>2310</v>
      </c>
      <c r="D16" s="36">
        <v>407</v>
      </c>
      <c r="E16" s="36">
        <v>246</v>
      </c>
      <c r="F16" s="37">
        <v>1064</v>
      </c>
      <c r="G16" s="36">
        <v>333</v>
      </c>
      <c r="H16" s="29">
        <v>10688</v>
      </c>
      <c r="I16" s="3">
        <v>59</v>
      </c>
      <c r="J16" s="17">
        <v>10747</v>
      </c>
    </row>
    <row r="17" spans="1:10" x14ac:dyDescent="0.25">
      <c r="A17" s="16" t="s">
        <v>11</v>
      </c>
      <c r="B17" s="37">
        <v>403</v>
      </c>
      <c r="C17" s="36">
        <v>107</v>
      </c>
      <c r="D17" s="36">
        <v>2</v>
      </c>
      <c r="E17" s="36">
        <v>15</v>
      </c>
      <c r="F17" s="36">
        <v>0</v>
      </c>
      <c r="G17" s="36">
        <v>0</v>
      </c>
      <c r="H17" s="29">
        <v>527</v>
      </c>
      <c r="I17" s="3">
        <v>0</v>
      </c>
      <c r="J17" s="17">
        <v>527</v>
      </c>
    </row>
    <row r="18" spans="1:10" x14ac:dyDescent="0.25">
      <c r="A18" s="16" t="s">
        <v>12</v>
      </c>
      <c r="B18" s="37">
        <v>1381</v>
      </c>
      <c r="C18" s="36">
        <v>530</v>
      </c>
      <c r="D18" s="36">
        <v>18</v>
      </c>
      <c r="E18" s="36">
        <v>35</v>
      </c>
      <c r="F18" s="36">
        <v>0</v>
      </c>
      <c r="G18" s="36">
        <v>0</v>
      </c>
      <c r="H18" s="29">
        <v>1964</v>
      </c>
      <c r="I18" s="3">
        <v>31</v>
      </c>
      <c r="J18" s="17">
        <v>1995</v>
      </c>
    </row>
    <row r="19" spans="1:10" x14ac:dyDescent="0.25">
      <c r="A19" s="16" t="s">
        <v>13</v>
      </c>
      <c r="B19" s="37">
        <v>2319</v>
      </c>
      <c r="C19" s="37">
        <v>1123</v>
      </c>
      <c r="D19" s="36">
        <v>34</v>
      </c>
      <c r="E19" s="36">
        <v>93</v>
      </c>
      <c r="F19" s="36">
        <v>0</v>
      </c>
      <c r="G19" s="36">
        <v>0</v>
      </c>
      <c r="H19" s="29">
        <v>3569</v>
      </c>
      <c r="I19" s="3">
        <v>41</v>
      </c>
      <c r="J19" s="17">
        <v>3610</v>
      </c>
    </row>
    <row r="20" spans="1:10" x14ac:dyDescent="0.25">
      <c r="A20" s="16" t="s">
        <v>14</v>
      </c>
      <c r="B20" s="37">
        <v>3230</v>
      </c>
      <c r="C20" s="37">
        <v>1203</v>
      </c>
      <c r="D20" s="36">
        <v>32</v>
      </c>
      <c r="E20" s="36">
        <v>76</v>
      </c>
      <c r="F20" s="36">
        <v>0</v>
      </c>
      <c r="G20" s="36">
        <v>0</v>
      </c>
      <c r="H20" s="29">
        <v>4541</v>
      </c>
      <c r="I20" s="3">
        <v>41</v>
      </c>
      <c r="J20" s="17">
        <v>4582</v>
      </c>
    </row>
    <row r="21" spans="1:10" x14ac:dyDescent="0.25">
      <c r="A21" s="16" t="s">
        <v>15</v>
      </c>
      <c r="B21" s="37">
        <v>1239</v>
      </c>
      <c r="C21" s="36">
        <v>514</v>
      </c>
      <c r="D21" s="36">
        <v>0</v>
      </c>
      <c r="E21" s="36">
        <v>35</v>
      </c>
      <c r="F21" s="36">
        <v>0</v>
      </c>
      <c r="G21" s="36">
        <v>0</v>
      </c>
      <c r="H21" s="29">
        <v>1788</v>
      </c>
      <c r="I21" s="3">
        <v>0</v>
      </c>
      <c r="J21" s="17">
        <v>1788</v>
      </c>
    </row>
    <row r="22" spans="1:10" x14ac:dyDescent="0.25">
      <c r="A22" s="16" t="s">
        <v>44</v>
      </c>
      <c r="B22" s="36">
        <v>1</v>
      </c>
      <c r="C22" s="36">
        <v>0</v>
      </c>
      <c r="D22" s="36">
        <v>0</v>
      </c>
      <c r="E22" s="36">
        <v>0</v>
      </c>
      <c r="F22" s="36">
        <v>1</v>
      </c>
      <c r="G22" s="36">
        <v>0</v>
      </c>
      <c r="H22" s="29">
        <v>2</v>
      </c>
      <c r="I22" s="3">
        <v>0</v>
      </c>
      <c r="J22" s="17">
        <v>2</v>
      </c>
    </row>
    <row r="23" spans="1:10" ht="15.75" thickBot="1" x14ac:dyDescent="0.3">
      <c r="A23" s="18"/>
      <c r="B23" s="6"/>
      <c r="C23" s="7"/>
      <c r="D23" s="7"/>
      <c r="E23" s="7"/>
      <c r="F23" s="7"/>
      <c r="G23" s="25"/>
      <c r="H23" s="30"/>
      <c r="I23" s="6"/>
      <c r="J23" s="19"/>
    </row>
    <row r="24" spans="1:10" ht="24.95" customHeight="1" thickBot="1" x14ac:dyDescent="0.3">
      <c r="A24" s="20" t="s">
        <v>16</v>
      </c>
      <c r="B24" s="31">
        <f>SUM(B7:B22)</f>
        <v>45547</v>
      </c>
      <c r="C24" s="31">
        <f>SUM(C7:C22)</f>
        <v>37995</v>
      </c>
      <c r="D24" s="31">
        <f>SUM(D7:D22)</f>
        <v>14254</v>
      </c>
      <c r="E24" s="31">
        <f>SUM(E7:E22)</f>
        <v>4421</v>
      </c>
      <c r="F24" s="31">
        <f>SUM(F7:F22)</f>
        <v>15174</v>
      </c>
      <c r="G24" s="31">
        <f>SUM(G7:G22)</f>
        <v>13666</v>
      </c>
      <c r="H24" s="31">
        <f>SUM(H7:H22)</f>
        <v>131057</v>
      </c>
      <c r="I24" s="31">
        <f>SUM(I7:I22)</f>
        <v>1051</v>
      </c>
      <c r="J24" s="32">
        <f>SUM(J7:J22)</f>
        <v>132108</v>
      </c>
    </row>
    <row r="25" spans="1:10" x14ac:dyDescent="0.25">
      <c r="A25" s="16" t="s">
        <v>17</v>
      </c>
      <c r="B25" s="4">
        <v>2037</v>
      </c>
      <c r="C25" s="5">
        <v>1538</v>
      </c>
      <c r="D25" s="5">
        <v>348</v>
      </c>
      <c r="E25" s="5">
        <v>172</v>
      </c>
      <c r="F25" s="5">
        <v>1982</v>
      </c>
      <c r="G25" s="23">
        <v>953</v>
      </c>
      <c r="H25" s="29">
        <v>7030</v>
      </c>
      <c r="I25" s="4">
        <v>69</v>
      </c>
      <c r="J25" s="21">
        <v>7099</v>
      </c>
    </row>
    <row r="26" spans="1:10" x14ac:dyDescent="0.25">
      <c r="A26" s="16" t="s">
        <v>18</v>
      </c>
      <c r="B26" s="3">
        <v>7267</v>
      </c>
      <c r="C26" s="2">
        <v>5388</v>
      </c>
      <c r="D26" s="2">
        <v>966</v>
      </c>
      <c r="E26" s="2">
        <v>501</v>
      </c>
      <c r="F26" s="2">
        <v>4439</v>
      </c>
      <c r="G26" s="24">
        <v>2891</v>
      </c>
      <c r="H26" s="29">
        <v>21452</v>
      </c>
      <c r="I26" s="3">
        <v>123</v>
      </c>
      <c r="J26" s="21">
        <v>21575</v>
      </c>
    </row>
    <row r="27" spans="1:10" x14ac:dyDescent="0.25">
      <c r="A27" s="16" t="s">
        <v>19</v>
      </c>
      <c r="B27" s="3">
        <v>19154</v>
      </c>
      <c r="C27" s="2">
        <v>14284</v>
      </c>
      <c r="D27" s="2">
        <v>3842</v>
      </c>
      <c r="E27" s="2">
        <v>1099</v>
      </c>
      <c r="F27" s="2">
        <v>15272</v>
      </c>
      <c r="G27" s="24">
        <v>8221</v>
      </c>
      <c r="H27" s="29">
        <v>61872</v>
      </c>
      <c r="I27" s="3">
        <v>665</v>
      </c>
      <c r="J27" s="21">
        <v>62537</v>
      </c>
    </row>
    <row r="28" spans="1:10" x14ac:dyDescent="0.25">
      <c r="A28" s="16" t="s">
        <v>20</v>
      </c>
      <c r="B28" s="3">
        <v>36514</v>
      </c>
      <c r="C28" s="2">
        <v>19226</v>
      </c>
      <c r="D28" s="2">
        <v>10577</v>
      </c>
      <c r="E28" s="2">
        <v>1989</v>
      </c>
      <c r="F28" s="2">
        <v>18833</v>
      </c>
      <c r="G28" s="24">
        <v>12247</v>
      </c>
      <c r="H28" s="29">
        <v>99386</v>
      </c>
      <c r="I28" s="3">
        <v>1502</v>
      </c>
      <c r="J28" s="21">
        <v>100888</v>
      </c>
    </row>
    <row r="29" spans="1:10" x14ac:dyDescent="0.25">
      <c r="A29" s="16" t="s">
        <v>21</v>
      </c>
      <c r="B29" s="3">
        <v>61476</v>
      </c>
      <c r="C29" s="2">
        <v>33406</v>
      </c>
      <c r="D29" s="2">
        <v>13746</v>
      </c>
      <c r="E29" s="2">
        <v>4739</v>
      </c>
      <c r="F29" s="2">
        <v>20306</v>
      </c>
      <c r="G29" s="24">
        <v>12504</v>
      </c>
      <c r="H29" s="29">
        <v>146177</v>
      </c>
      <c r="I29" s="3">
        <v>1689</v>
      </c>
      <c r="J29" s="21">
        <v>147866</v>
      </c>
    </row>
    <row r="30" spans="1:10" x14ac:dyDescent="0.25">
      <c r="A30" s="16" t="s">
        <v>22</v>
      </c>
      <c r="B30" s="3">
        <v>103451</v>
      </c>
      <c r="C30" s="2">
        <v>53534</v>
      </c>
      <c r="D30" s="2">
        <v>7823</v>
      </c>
      <c r="E30" s="2">
        <v>6236</v>
      </c>
      <c r="F30" s="2">
        <v>15435</v>
      </c>
      <c r="G30" s="24">
        <v>12721</v>
      </c>
      <c r="H30" s="29">
        <v>199200</v>
      </c>
      <c r="I30" s="3">
        <v>1076</v>
      </c>
      <c r="J30" s="21">
        <v>200276</v>
      </c>
    </row>
    <row r="31" spans="1:10" x14ac:dyDescent="0.25">
      <c r="A31" s="16" t="s">
        <v>23</v>
      </c>
      <c r="B31" s="3">
        <v>35595</v>
      </c>
      <c r="C31" s="2">
        <v>16053</v>
      </c>
      <c r="D31" s="2">
        <v>3868</v>
      </c>
      <c r="E31" s="2">
        <v>14450</v>
      </c>
      <c r="F31" s="2">
        <v>11969</v>
      </c>
      <c r="G31" s="24">
        <v>3657</v>
      </c>
      <c r="H31" s="29">
        <v>85592</v>
      </c>
      <c r="I31" s="3">
        <v>94</v>
      </c>
      <c r="J31" s="21">
        <v>85686</v>
      </c>
    </row>
    <row r="32" spans="1:10" x14ac:dyDescent="0.25">
      <c r="A32" s="16" t="s">
        <v>24</v>
      </c>
      <c r="B32" s="3">
        <v>18276</v>
      </c>
      <c r="C32" s="2">
        <v>6625</v>
      </c>
      <c r="D32" s="2">
        <v>1398</v>
      </c>
      <c r="E32" s="2">
        <v>3635</v>
      </c>
      <c r="F32" s="2">
        <v>512</v>
      </c>
      <c r="G32" s="24">
        <v>721</v>
      </c>
      <c r="H32" s="29">
        <v>31167</v>
      </c>
      <c r="I32" s="3">
        <v>0</v>
      </c>
      <c r="J32" s="21">
        <v>31167</v>
      </c>
    </row>
    <row r="33" spans="1:10" x14ac:dyDescent="0.25">
      <c r="A33" s="16" t="s">
        <v>25</v>
      </c>
      <c r="B33" s="2">
        <v>12459</v>
      </c>
      <c r="C33" s="2">
        <v>7714</v>
      </c>
      <c r="D33" s="2">
        <v>985</v>
      </c>
      <c r="E33" s="2">
        <v>1864</v>
      </c>
      <c r="F33" s="2">
        <v>878</v>
      </c>
      <c r="G33" s="24">
        <v>1146</v>
      </c>
      <c r="H33" s="29">
        <v>25046</v>
      </c>
      <c r="I33" s="3">
        <v>0</v>
      </c>
      <c r="J33" s="21">
        <v>25046</v>
      </c>
    </row>
    <row r="34" spans="1:10" x14ac:dyDescent="0.25">
      <c r="A34" s="16" t="s">
        <v>43</v>
      </c>
      <c r="B34" s="2">
        <v>0</v>
      </c>
      <c r="C34" s="2">
        <v>0</v>
      </c>
      <c r="D34" s="2">
        <v>0</v>
      </c>
      <c r="E34" s="2">
        <v>0</v>
      </c>
      <c r="F34" s="2">
        <v>1</v>
      </c>
      <c r="G34" s="41">
        <v>0</v>
      </c>
      <c r="H34" s="29">
        <v>1</v>
      </c>
      <c r="I34" s="3">
        <v>0</v>
      </c>
      <c r="J34" s="21">
        <v>1</v>
      </c>
    </row>
    <row r="35" spans="1:10" ht="15.75" thickBot="1" x14ac:dyDescent="0.3">
      <c r="A35" s="16"/>
      <c r="B35" s="8"/>
      <c r="C35" s="8"/>
      <c r="D35" s="8"/>
      <c r="E35" s="8"/>
      <c r="F35" s="8"/>
      <c r="G35" s="38"/>
      <c r="H35" s="40"/>
      <c r="I35" s="8"/>
      <c r="J35" s="39"/>
    </row>
    <row r="36" spans="1:10" ht="15.75" thickBot="1" x14ac:dyDescent="0.3">
      <c r="A36" s="20" t="s">
        <v>26</v>
      </c>
      <c r="B36" s="31">
        <f>SUM(B25:B34)</f>
        <v>296229</v>
      </c>
      <c r="C36" s="31">
        <f>SUM(C25:C34)</f>
        <v>157768</v>
      </c>
      <c r="D36" s="31">
        <f>SUM(D25:D34)</f>
        <v>43553</v>
      </c>
      <c r="E36" s="31">
        <f>SUM(E25:E34)</f>
        <v>34685</v>
      </c>
      <c r="F36" s="31">
        <f>SUM(F25:F34)</f>
        <v>89627</v>
      </c>
      <c r="G36" s="31">
        <f>SUM(G25:G34)</f>
        <v>55061</v>
      </c>
      <c r="H36" s="31">
        <f>SUM(H25:H34)</f>
        <v>676923</v>
      </c>
      <c r="I36" s="31">
        <f>SUM(I25:I34)</f>
        <v>5218</v>
      </c>
      <c r="J36" s="32">
        <f>SUM(J25:J34)</f>
        <v>682141</v>
      </c>
    </row>
    <row r="37" spans="1:10" ht="16.5" thickTop="1" thickBot="1" x14ac:dyDescent="0.3">
      <c r="A37" s="9" t="s">
        <v>27</v>
      </c>
      <c r="B37" s="33">
        <f>SUM(B24,B36)</f>
        <v>341776</v>
      </c>
      <c r="C37" s="33">
        <f>SUM(C24,C36)</f>
        <v>195763</v>
      </c>
      <c r="D37" s="33">
        <f>SUM(D24,D36)</f>
        <v>57807</v>
      </c>
      <c r="E37" s="33">
        <f>SUM(E24,E36)</f>
        <v>39106</v>
      </c>
      <c r="F37" s="33">
        <f>SUM(F24,F36)</f>
        <v>104801</v>
      </c>
      <c r="G37" s="34">
        <f>SUM(G24,G36)</f>
        <v>68727</v>
      </c>
      <c r="H37" s="27">
        <f>SUM(H24,H36)</f>
        <v>807980</v>
      </c>
      <c r="I37" s="33">
        <f>SUM(I24,I36)</f>
        <v>6269</v>
      </c>
      <c r="J37" s="35">
        <f>SUM(J24,J36)</f>
        <v>814249</v>
      </c>
    </row>
    <row r="38" spans="1:10" ht="15.75" thickTop="1" x14ac:dyDescent="0.25">
      <c r="B38" s="10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tabSelected="1"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2" width="15.85546875" customWidth="1"/>
    <col min="3" max="10" width="15.7109375" customWidth="1"/>
  </cols>
  <sheetData>
    <row r="1" spans="1:10" ht="19.5" thickTop="1" x14ac:dyDescent="0.3">
      <c r="A1" s="42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.75" x14ac:dyDescent="0.3">
      <c r="A2" s="45" t="s">
        <v>29</v>
      </c>
      <c r="B2" s="46"/>
      <c r="C2" s="46"/>
      <c r="D2" s="46"/>
      <c r="E2" s="46"/>
      <c r="F2" s="46"/>
      <c r="G2" s="46"/>
      <c r="H2" s="46"/>
      <c r="I2" s="46"/>
      <c r="J2" s="47"/>
    </row>
    <row r="3" spans="1:10" ht="18.75" x14ac:dyDescent="0.3">
      <c r="A3" s="48" t="s">
        <v>55</v>
      </c>
      <c r="B3" s="49"/>
      <c r="C3" s="49"/>
      <c r="D3" s="49"/>
      <c r="E3" s="49"/>
      <c r="F3" s="49"/>
      <c r="G3" s="49"/>
      <c r="H3" s="49"/>
      <c r="I3" s="49"/>
      <c r="J3" s="50"/>
    </row>
    <row r="4" spans="1:10" ht="19.5" thickBot="1" x14ac:dyDescent="0.35">
      <c r="A4" s="51"/>
      <c r="B4" s="52"/>
      <c r="C4" s="52"/>
      <c r="D4" s="52"/>
      <c r="E4" s="52"/>
      <c r="F4" s="52"/>
      <c r="G4" s="52"/>
      <c r="H4" s="52"/>
      <c r="I4" s="52"/>
      <c r="J4" s="53"/>
    </row>
    <row r="5" spans="1:10" ht="15.75" thickBot="1" x14ac:dyDescent="0.3">
      <c r="A5" s="54"/>
      <c r="B5" s="55"/>
      <c r="C5" s="55"/>
      <c r="D5" s="55"/>
      <c r="E5" s="55"/>
      <c r="F5" s="55"/>
      <c r="G5" s="55"/>
      <c r="H5" s="55"/>
      <c r="I5" s="55"/>
      <c r="J5" s="56"/>
    </row>
    <row r="6" spans="1:10" s="11" customFormat="1" ht="30.75" thickBot="1" x14ac:dyDescent="0.3">
      <c r="A6" s="14" t="s">
        <v>0</v>
      </c>
      <c r="B6" s="12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22" t="s">
        <v>35</v>
      </c>
      <c r="H6" s="28" t="s">
        <v>36</v>
      </c>
      <c r="I6" s="26" t="s">
        <v>39</v>
      </c>
      <c r="J6" s="15" t="s">
        <v>37</v>
      </c>
    </row>
    <row r="7" spans="1:10" ht="15.75" thickTop="1" x14ac:dyDescent="0.25">
      <c r="A7" s="16" t="s">
        <v>1</v>
      </c>
      <c r="B7" s="36">
        <v>0</v>
      </c>
      <c r="C7" s="36">
        <v>0</v>
      </c>
      <c r="D7" s="36">
        <v>0</v>
      </c>
      <c r="E7" s="36">
        <v>0</v>
      </c>
      <c r="F7" s="36">
        <v>1</v>
      </c>
      <c r="G7" s="36">
        <v>0</v>
      </c>
      <c r="H7" s="29">
        <v>1</v>
      </c>
      <c r="I7" s="4">
        <v>0</v>
      </c>
      <c r="J7" s="17">
        <v>1</v>
      </c>
    </row>
    <row r="8" spans="1:10" x14ac:dyDescent="0.25">
      <c r="A8" s="16" t="s">
        <v>2</v>
      </c>
      <c r="B8" s="36">
        <v>3</v>
      </c>
      <c r="C8" s="36">
        <v>0</v>
      </c>
      <c r="D8" s="36">
        <v>0</v>
      </c>
      <c r="E8" s="36">
        <v>1</v>
      </c>
      <c r="F8" s="36">
        <v>2</v>
      </c>
      <c r="G8" s="36">
        <v>0</v>
      </c>
      <c r="H8" s="29">
        <v>6</v>
      </c>
      <c r="I8" s="3">
        <v>0</v>
      </c>
      <c r="J8" s="17">
        <v>6</v>
      </c>
    </row>
    <row r="9" spans="1:10" x14ac:dyDescent="0.25">
      <c r="A9" s="16" t="s">
        <v>3</v>
      </c>
      <c r="B9" s="36">
        <v>72</v>
      </c>
      <c r="C9" s="36">
        <v>31</v>
      </c>
      <c r="D9" s="36">
        <v>19</v>
      </c>
      <c r="E9" s="36">
        <v>5</v>
      </c>
      <c r="F9" s="36">
        <v>41</v>
      </c>
      <c r="G9" s="36">
        <v>25</v>
      </c>
      <c r="H9" s="29">
        <v>193</v>
      </c>
      <c r="I9" s="3">
        <v>2</v>
      </c>
      <c r="J9" s="17">
        <v>195</v>
      </c>
    </row>
    <row r="10" spans="1:10" x14ac:dyDescent="0.25">
      <c r="A10" s="16" t="s">
        <v>4</v>
      </c>
      <c r="B10" s="36">
        <v>170</v>
      </c>
      <c r="C10" s="36">
        <v>81</v>
      </c>
      <c r="D10" s="36">
        <v>35</v>
      </c>
      <c r="E10" s="36">
        <v>6</v>
      </c>
      <c r="F10" s="36">
        <v>122</v>
      </c>
      <c r="G10" s="36">
        <v>51</v>
      </c>
      <c r="H10" s="29">
        <v>465</v>
      </c>
      <c r="I10" s="3">
        <v>0</v>
      </c>
      <c r="J10" s="17">
        <v>465</v>
      </c>
    </row>
    <row r="11" spans="1:10" x14ac:dyDescent="0.25">
      <c r="A11" s="16" t="s">
        <v>5</v>
      </c>
      <c r="B11" s="37">
        <v>1367</v>
      </c>
      <c r="C11" s="37">
        <v>1866</v>
      </c>
      <c r="D11" s="37">
        <v>1270</v>
      </c>
      <c r="E11" s="36">
        <v>291</v>
      </c>
      <c r="F11" s="37">
        <v>1049</v>
      </c>
      <c r="G11" s="37">
        <v>1046</v>
      </c>
      <c r="H11" s="29">
        <v>6889</v>
      </c>
      <c r="I11" s="3">
        <v>39</v>
      </c>
      <c r="J11" s="17">
        <v>6928</v>
      </c>
    </row>
    <row r="12" spans="1:10" x14ac:dyDescent="0.25">
      <c r="A12" s="16" t="s">
        <v>6</v>
      </c>
      <c r="B12" s="37">
        <v>3587</v>
      </c>
      <c r="C12" s="37">
        <v>4963</v>
      </c>
      <c r="D12" s="37">
        <v>3250</v>
      </c>
      <c r="E12" s="36">
        <v>728</v>
      </c>
      <c r="F12" s="37">
        <v>3970</v>
      </c>
      <c r="G12" s="37">
        <v>3763</v>
      </c>
      <c r="H12" s="29">
        <v>20261</v>
      </c>
      <c r="I12" s="3">
        <v>137</v>
      </c>
      <c r="J12" s="17">
        <v>20398</v>
      </c>
    </row>
    <row r="13" spans="1:10" x14ac:dyDescent="0.25">
      <c r="A13" s="16" t="s">
        <v>7</v>
      </c>
      <c r="B13" s="37">
        <v>6571</v>
      </c>
      <c r="C13" s="37">
        <v>7813</v>
      </c>
      <c r="D13" s="37">
        <v>4858</v>
      </c>
      <c r="E13" s="37">
        <v>1305</v>
      </c>
      <c r="F13" s="37">
        <v>4379</v>
      </c>
      <c r="G13" s="37">
        <v>5108</v>
      </c>
      <c r="H13" s="29">
        <v>30034</v>
      </c>
      <c r="I13" s="3">
        <v>317</v>
      </c>
      <c r="J13" s="17">
        <v>30351</v>
      </c>
    </row>
    <row r="14" spans="1:10" x14ac:dyDescent="0.25">
      <c r="A14" s="16" t="s">
        <v>8</v>
      </c>
      <c r="B14" s="37">
        <v>10735</v>
      </c>
      <c r="C14" s="37">
        <v>11136</v>
      </c>
      <c r="D14" s="37">
        <v>3697</v>
      </c>
      <c r="E14" s="37">
        <v>1250</v>
      </c>
      <c r="F14" s="37">
        <v>3374</v>
      </c>
      <c r="G14" s="37">
        <v>2706</v>
      </c>
      <c r="H14" s="29">
        <v>32898</v>
      </c>
      <c r="I14" s="3">
        <v>324</v>
      </c>
      <c r="J14" s="17">
        <v>33222</v>
      </c>
    </row>
    <row r="15" spans="1:10" x14ac:dyDescent="0.25">
      <c r="A15" s="16" t="s">
        <v>9</v>
      </c>
      <c r="B15" s="37">
        <v>8652</v>
      </c>
      <c r="C15" s="37">
        <v>5963</v>
      </c>
      <c r="D15" s="36">
        <v>643</v>
      </c>
      <c r="E15" s="36">
        <v>297</v>
      </c>
      <c r="F15" s="37">
        <v>1207</v>
      </c>
      <c r="G15" s="36">
        <v>647</v>
      </c>
      <c r="H15" s="29">
        <v>17409</v>
      </c>
      <c r="I15" s="3">
        <v>52</v>
      </c>
      <c r="J15" s="17">
        <v>17461</v>
      </c>
    </row>
    <row r="16" spans="1:10" x14ac:dyDescent="0.25">
      <c r="A16" s="16" t="s">
        <v>10</v>
      </c>
      <c r="B16" s="37">
        <v>6077</v>
      </c>
      <c r="C16" s="37">
        <v>2265</v>
      </c>
      <c r="D16" s="36">
        <v>407</v>
      </c>
      <c r="E16" s="36">
        <v>240</v>
      </c>
      <c r="F16" s="37">
        <v>1111</v>
      </c>
      <c r="G16" s="36">
        <v>326</v>
      </c>
      <c r="H16" s="29">
        <v>10426</v>
      </c>
      <c r="I16" s="3">
        <v>67</v>
      </c>
      <c r="J16" s="17">
        <v>10493</v>
      </c>
    </row>
    <row r="17" spans="1:10" x14ac:dyDescent="0.25">
      <c r="A17" s="16" t="s">
        <v>11</v>
      </c>
      <c r="B17" s="36">
        <v>394</v>
      </c>
      <c r="C17" s="36">
        <v>108</v>
      </c>
      <c r="D17" s="36">
        <v>2</v>
      </c>
      <c r="E17" s="36">
        <v>16</v>
      </c>
      <c r="F17" s="36">
        <v>0</v>
      </c>
      <c r="G17" s="36">
        <v>0</v>
      </c>
      <c r="H17" s="29">
        <v>520</v>
      </c>
      <c r="I17" s="3">
        <v>0</v>
      </c>
      <c r="J17" s="17">
        <v>520</v>
      </c>
    </row>
    <row r="18" spans="1:10" x14ac:dyDescent="0.25">
      <c r="A18" s="16" t="s">
        <v>12</v>
      </c>
      <c r="B18" s="37">
        <v>1370</v>
      </c>
      <c r="C18" s="36">
        <v>528</v>
      </c>
      <c r="D18" s="36">
        <v>18</v>
      </c>
      <c r="E18" s="36">
        <v>35</v>
      </c>
      <c r="F18" s="36">
        <v>0</v>
      </c>
      <c r="G18" s="36">
        <v>0</v>
      </c>
      <c r="H18" s="29">
        <v>1951</v>
      </c>
      <c r="I18" s="3">
        <v>34</v>
      </c>
      <c r="J18" s="17">
        <v>1985</v>
      </c>
    </row>
    <row r="19" spans="1:10" x14ac:dyDescent="0.25">
      <c r="A19" s="16" t="s">
        <v>13</v>
      </c>
      <c r="B19" s="37">
        <v>2307</v>
      </c>
      <c r="C19" s="36">
        <v>1138</v>
      </c>
      <c r="D19" s="36">
        <v>34</v>
      </c>
      <c r="E19" s="36">
        <v>95</v>
      </c>
      <c r="F19" s="36">
        <v>0</v>
      </c>
      <c r="G19" s="36">
        <v>0</v>
      </c>
      <c r="H19" s="29">
        <v>3574</v>
      </c>
      <c r="I19" s="3">
        <v>40</v>
      </c>
      <c r="J19" s="17">
        <v>3614</v>
      </c>
    </row>
    <row r="20" spans="1:10" x14ac:dyDescent="0.25">
      <c r="A20" s="16" t="s">
        <v>14</v>
      </c>
      <c r="B20" s="37">
        <v>3238</v>
      </c>
      <c r="C20" s="37">
        <v>1248</v>
      </c>
      <c r="D20" s="36">
        <v>32</v>
      </c>
      <c r="E20" s="36">
        <v>70</v>
      </c>
      <c r="F20" s="36">
        <v>0</v>
      </c>
      <c r="G20" s="36">
        <v>0</v>
      </c>
      <c r="H20" s="29">
        <v>4588</v>
      </c>
      <c r="I20" s="3">
        <v>38</v>
      </c>
      <c r="J20" s="17">
        <v>4626</v>
      </c>
    </row>
    <row r="21" spans="1:10" x14ac:dyDescent="0.25">
      <c r="A21" s="16" t="s">
        <v>15</v>
      </c>
      <c r="B21" s="37">
        <v>1318</v>
      </c>
      <c r="C21" s="36">
        <v>433</v>
      </c>
      <c r="D21" s="36">
        <v>0</v>
      </c>
      <c r="E21" s="36">
        <v>35</v>
      </c>
      <c r="F21" s="36">
        <v>0</v>
      </c>
      <c r="G21" s="36">
        <v>0</v>
      </c>
      <c r="H21" s="29">
        <v>1786</v>
      </c>
      <c r="I21" s="3">
        <v>0</v>
      </c>
      <c r="J21" s="17">
        <v>1786</v>
      </c>
    </row>
    <row r="22" spans="1:10" x14ac:dyDescent="0.25">
      <c r="A22" s="16" t="s">
        <v>42</v>
      </c>
      <c r="B22" s="36">
        <v>1</v>
      </c>
      <c r="C22" s="36">
        <v>0</v>
      </c>
      <c r="D22" s="36">
        <v>0</v>
      </c>
      <c r="E22" s="36">
        <v>0</v>
      </c>
      <c r="F22" s="36">
        <v>1</v>
      </c>
      <c r="G22" s="36">
        <v>0</v>
      </c>
      <c r="H22" s="29">
        <v>2</v>
      </c>
      <c r="I22" s="3">
        <v>0</v>
      </c>
      <c r="J22" s="17">
        <v>2</v>
      </c>
    </row>
    <row r="23" spans="1:10" ht="15.75" thickBot="1" x14ac:dyDescent="0.3">
      <c r="A23" s="18"/>
      <c r="B23" s="6"/>
      <c r="C23" s="7"/>
      <c r="D23" s="7"/>
      <c r="E23" s="7"/>
      <c r="F23" s="7"/>
      <c r="G23" s="25"/>
      <c r="H23" s="30"/>
      <c r="I23" s="6" t="s">
        <v>38</v>
      </c>
      <c r="J23" s="19"/>
    </row>
    <row r="24" spans="1:10" ht="15.75" thickBot="1" x14ac:dyDescent="0.3">
      <c r="A24" s="20" t="s">
        <v>16</v>
      </c>
      <c r="B24" s="31">
        <f>SUM(B7:B22)</f>
        <v>45862</v>
      </c>
      <c r="C24" s="31">
        <f>SUM(C7:C22)</f>
        <v>37573</v>
      </c>
      <c r="D24" s="31">
        <f>SUM(D7:D22)</f>
        <v>14265</v>
      </c>
      <c r="E24" s="31">
        <f>SUM(E7:E22)</f>
        <v>4374</v>
      </c>
      <c r="F24" s="31">
        <f>SUM(F7:F22)</f>
        <v>15257</v>
      </c>
      <c r="G24" s="60">
        <f>SUM(G7:G22)</f>
        <v>13672</v>
      </c>
      <c r="H24" s="59">
        <f>SUM(H7:H22)</f>
        <v>131003</v>
      </c>
      <c r="I24" s="31">
        <f>SUM(I7:I22)</f>
        <v>1050</v>
      </c>
      <c r="J24" s="32">
        <f>SUM(J7:J22)</f>
        <v>132053</v>
      </c>
    </row>
    <row r="25" spans="1:10" x14ac:dyDescent="0.25">
      <c r="A25" s="16" t="s">
        <v>17</v>
      </c>
      <c r="B25" s="4">
        <v>2022</v>
      </c>
      <c r="C25" s="5">
        <v>1527</v>
      </c>
      <c r="D25" s="5">
        <v>349</v>
      </c>
      <c r="E25" s="5">
        <v>173</v>
      </c>
      <c r="F25" s="5">
        <v>1976</v>
      </c>
      <c r="G25" s="23">
        <v>962</v>
      </c>
      <c r="H25" s="29">
        <v>7009</v>
      </c>
      <c r="I25" s="4">
        <v>69</v>
      </c>
      <c r="J25" s="21">
        <v>7078</v>
      </c>
    </row>
    <row r="26" spans="1:10" x14ac:dyDescent="0.25">
      <c r="A26" s="16" t="s">
        <v>18</v>
      </c>
      <c r="B26" s="3">
        <v>7302</v>
      </c>
      <c r="C26" s="2">
        <v>5614</v>
      </c>
      <c r="D26" s="2">
        <v>967</v>
      </c>
      <c r="E26" s="2">
        <v>496</v>
      </c>
      <c r="F26" s="2">
        <v>4457</v>
      </c>
      <c r="G26" s="24">
        <v>2877</v>
      </c>
      <c r="H26" s="29">
        <v>21713</v>
      </c>
      <c r="I26" s="3">
        <v>121</v>
      </c>
      <c r="J26" s="21">
        <v>21834</v>
      </c>
    </row>
    <row r="27" spans="1:10" x14ac:dyDescent="0.25">
      <c r="A27" s="16" t="s">
        <v>19</v>
      </c>
      <c r="B27" s="3">
        <v>19071</v>
      </c>
      <c r="C27" s="2">
        <v>13943</v>
      </c>
      <c r="D27" s="2">
        <v>3833</v>
      </c>
      <c r="E27" s="2">
        <v>1096</v>
      </c>
      <c r="F27" s="2">
        <v>15281</v>
      </c>
      <c r="G27" s="24">
        <v>8209</v>
      </c>
      <c r="H27" s="29">
        <v>61433</v>
      </c>
      <c r="I27" s="3">
        <v>660</v>
      </c>
      <c r="J27" s="21">
        <v>62093</v>
      </c>
    </row>
    <row r="28" spans="1:10" x14ac:dyDescent="0.25">
      <c r="A28" s="16" t="s">
        <v>20</v>
      </c>
      <c r="B28" s="3">
        <v>36276</v>
      </c>
      <c r="C28" s="2">
        <v>19500</v>
      </c>
      <c r="D28" s="2">
        <v>10546</v>
      </c>
      <c r="E28" s="2">
        <v>1978</v>
      </c>
      <c r="F28" s="2">
        <v>18925</v>
      </c>
      <c r="G28" s="24">
        <v>12340</v>
      </c>
      <c r="H28" s="29">
        <v>99565</v>
      </c>
      <c r="I28" s="3">
        <v>1490</v>
      </c>
      <c r="J28" s="21">
        <v>101055</v>
      </c>
    </row>
    <row r="29" spans="1:10" x14ac:dyDescent="0.25">
      <c r="A29" s="16" t="s">
        <v>21</v>
      </c>
      <c r="B29" s="3">
        <v>61744</v>
      </c>
      <c r="C29" s="2">
        <v>32817</v>
      </c>
      <c r="D29" s="2">
        <v>13793</v>
      </c>
      <c r="E29" s="2">
        <v>4663</v>
      </c>
      <c r="F29" s="2">
        <v>20528</v>
      </c>
      <c r="G29" s="24">
        <v>12530</v>
      </c>
      <c r="H29" s="29">
        <v>146075</v>
      </c>
      <c r="I29" s="3">
        <v>1674</v>
      </c>
      <c r="J29" s="21">
        <v>147749</v>
      </c>
    </row>
    <row r="30" spans="1:10" x14ac:dyDescent="0.25">
      <c r="A30" s="16" t="s">
        <v>22</v>
      </c>
      <c r="B30" s="3">
        <v>104265</v>
      </c>
      <c r="C30" s="2">
        <v>53265</v>
      </c>
      <c r="D30" s="2">
        <v>7789</v>
      </c>
      <c r="E30" s="2">
        <v>6156</v>
      </c>
      <c r="F30" s="2">
        <v>15479</v>
      </c>
      <c r="G30" s="24">
        <v>12635</v>
      </c>
      <c r="H30" s="29">
        <v>199589</v>
      </c>
      <c r="I30" s="3">
        <v>1066</v>
      </c>
      <c r="J30" s="21">
        <v>200655</v>
      </c>
    </row>
    <row r="31" spans="1:10" x14ac:dyDescent="0.25">
      <c r="A31" s="16" t="s">
        <v>23</v>
      </c>
      <c r="B31" s="3">
        <v>35442</v>
      </c>
      <c r="C31" s="2">
        <v>15945</v>
      </c>
      <c r="D31" s="2">
        <v>3919</v>
      </c>
      <c r="E31" s="2">
        <v>14822</v>
      </c>
      <c r="F31" s="2">
        <v>12238</v>
      </c>
      <c r="G31" s="24">
        <v>3727</v>
      </c>
      <c r="H31" s="29">
        <v>86093</v>
      </c>
      <c r="I31" s="3">
        <v>91</v>
      </c>
      <c r="J31" s="21">
        <v>86184</v>
      </c>
    </row>
    <row r="32" spans="1:10" x14ac:dyDescent="0.25">
      <c r="A32" s="16" t="s">
        <v>24</v>
      </c>
      <c r="B32" s="3">
        <v>18731</v>
      </c>
      <c r="C32" s="2">
        <v>6620</v>
      </c>
      <c r="D32" s="2">
        <v>1421</v>
      </c>
      <c r="E32" s="2">
        <v>3324</v>
      </c>
      <c r="F32" s="2">
        <v>536</v>
      </c>
      <c r="G32" s="24">
        <v>689</v>
      </c>
      <c r="H32" s="29">
        <v>31321</v>
      </c>
      <c r="I32" s="3">
        <v>0</v>
      </c>
      <c r="J32" s="21">
        <v>31321</v>
      </c>
    </row>
    <row r="33" spans="1:10" x14ac:dyDescent="0.25">
      <c r="A33" s="16" t="s">
        <v>25</v>
      </c>
      <c r="B33" s="2">
        <v>12888</v>
      </c>
      <c r="C33" s="2">
        <v>7514</v>
      </c>
      <c r="D33" s="2">
        <v>942</v>
      </c>
      <c r="E33" s="2">
        <v>1600</v>
      </c>
      <c r="F33" s="2">
        <v>992</v>
      </c>
      <c r="G33" s="24">
        <v>1157</v>
      </c>
      <c r="H33" s="29">
        <v>25093</v>
      </c>
      <c r="I33" s="3">
        <v>0</v>
      </c>
      <c r="J33" s="21">
        <v>25093</v>
      </c>
    </row>
    <row r="34" spans="1:10" x14ac:dyDescent="0.25">
      <c r="A34" s="16" t="s">
        <v>41</v>
      </c>
      <c r="B34" s="36">
        <v>0</v>
      </c>
      <c r="C34" s="36">
        <v>0</v>
      </c>
      <c r="D34" s="36">
        <v>0</v>
      </c>
      <c r="E34" s="36">
        <v>0</v>
      </c>
      <c r="F34" s="36">
        <v>1</v>
      </c>
      <c r="G34" s="36">
        <v>0</v>
      </c>
      <c r="H34" s="29">
        <v>1</v>
      </c>
      <c r="I34" s="3">
        <v>0</v>
      </c>
      <c r="J34" s="17">
        <v>1</v>
      </c>
    </row>
    <row r="35" spans="1:10" ht="15.75" thickBot="1" x14ac:dyDescent="0.3">
      <c r="A35" s="16"/>
      <c r="B35" s="8"/>
      <c r="C35" s="62"/>
      <c r="D35" s="62"/>
      <c r="E35" s="62"/>
      <c r="F35" s="62"/>
      <c r="G35" s="61"/>
      <c r="H35" s="29"/>
      <c r="I35" s="3"/>
      <c r="J35" s="21"/>
    </row>
    <row r="36" spans="1:10" ht="15.75" thickBot="1" x14ac:dyDescent="0.3">
      <c r="A36" s="20" t="s">
        <v>26</v>
      </c>
      <c r="B36" s="31">
        <f>SUM(B25:B34)</f>
        <v>297741</v>
      </c>
      <c r="C36" s="31">
        <f>SUM(C25:C34)</f>
        <v>156745</v>
      </c>
      <c r="D36" s="31">
        <f>SUM(D25:D34)</f>
        <v>43559</v>
      </c>
      <c r="E36" s="31">
        <f>SUM(E25:E34)</f>
        <v>34308</v>
      </c>
      <c r="F36" s="31">
        <f>SUM(F25:F34)</f>
        <v>90413</v>
      </c>
      <c r="G36" s="60">
        <f>SUM(G25:G34)</f>
        <v>55126</v>
      </c>
      <c r="H36" s="59">
        <f>SUM(H25:H34)</f>
        <v>677892</v>
      </c>
      <c r="I36" s="31">
        <f>SUM(I25:I34)</f>
        <v>5171</v>
      </c>
      <c r="J36" s="32">
        <f>SUM(J25:J34)</f>
        <v>683063</v>
      </c>
    </row>
    <row r="37" spans="1:10" ht="16.5" thickTop="1" thickBot="1" x14ac:dyDescent="0.3">
      <c r="A37" s="9" t="s">
        <v>27</v>
      </c>
      <c r="B37" s="33">
        <f>SUM(B24,B36)</f>
        <v>343603</v>
      </c>
      <c r="C37" s="33">
        <f>SUM(C24,C36)</f>
        <v>194318</v>
      </c>
      <c r="D37" s="33">
        <f>SUM(D24,D36)</f>
        <v>57824</v>
      </c>
      <c r="E37" s="33">
        <f>SUM(E24,E36)</f>
        <v>38682</v>
      </c>
      <c r="F37" s="33">
        <f>SUM(F24,F36)</f>
        <v>105670</v>
      </c>
      <c r="G37" s="34">
        <f>SUM(G24,G36)</f>
        <v>68798</v>
      </c>
      <c r="H37" s="58">
        <f>SUM(H24,H36)</f>
        <v>808895</v>
      </c>
      <c r="I37" s="33">
        <f>SUM(I24,I36)</f>
        <v>6221</v>
      </c>
      <c r="J37" s="57">
        <f>SUM(J24,J36)</f>
        <v>815116</v>
      </c>
    </row>
    <row r="38" spans="1:10" ht="15.75" thickTop="1" x14ac:dyDescent="0.25">
      <c r="B38" s="10"/>
    </row>
    <row r="39" spans="1:10" x14ac:dyDescent="0.25">
      <c r="A39" s="1" t="s">
        <v>54</v>
      </c>
    </row>
    <row r="40" spans="1:10" x14ac:dyDescent="0.25">
      <c r="A40" s="1" t="s">
        <v>38</v>
      </c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DRS 42486 - 201610</vt:lpstr>
      <vt:lpstr>DRS 42486 - 201611</vt:lpstr>
      <vt:lpstr>DRS 42486 - 201612</vt:lpstr>
      <vt:lpstr>DRS 42486 - 201701</vt:lpstr>
      <vt:lpstr>DRS 42486 - 201702</vt:lpstr>
      <vt:lpstr>DRS 42486 - 201703</vt:lpstr>
      <vt:lpstr>DRS 42486 - 201704</vt:lpstr>
      <vt:lpstr>DRS 42486 - 201705</vt:lpstr>
      <vt:lpstr>DRS 42486 - 201706</vt:lpstr>
      <vt:lpstr>DRS 42486 - 201707</vt:lpstr>
      <vt:lpstr>DRS 42486 - 201708</vt:lpstr>
      <vt:lpstr>DRS 42486 - 201709</vt:lpstr>
      <vt:lpstr>'DRS 42486 - 201610'!Print_Area</vt:lpstr>
      <vt:lpstr>'DRS 42486 - 201611'!Print_Area</vt:lpstr>
      <vt:lpstr>'DRS 42486 - 201612'!Print_Area</vt:lpstr>
      <vt:lpstr>'DRS 42486 - 201701'!Print_Area</vt:lpstr>
      <vt:lpstr>'DRS 42486 - 201702'!Print_Area</vt:lpstr>
      <vt:lpstr>'DRS 42486 - 201703'!Print_Area</vt:lpstr>
      <vt:lpstr>'DRS 42486 - 201704'!Print_Area</vt:lpstr>
      <vt:lpstr>'DRS 42486 - 201705'!Print_Area</vt:lpstr>
      <vt:lpstr>'DRS 42486 - 201706'!Print_Area</vt:lpstr>
      <vt:lpstr>'DRS 42486 - 201707'!Print_Area</vt:lpstr>
      <vt:lpstr>'DRS 42486 - 201708'!Print_Area</vt:lpstr>
      <vt:lpstr>'DRS 42486 - 201709'!Print_Area</vt:lpstr>
    </vt:vector>
  </TitlesOfParts>
  <Company>Defense Manpower Data Center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Tong, Man K CIV DMDC</dc:creator>
  <cp:lastModifiedBy>Seggerman, Scott L CIV DMDC</cp:lastModifiedBy>
  <cp:lastPrinted>2016-08-31T00:34:34Z</cp:lastPrinted>
  <dcterms:created xsi:type="dcterms:W3CDTF">2012-07-23T22:14:11Z</dcterms:created>
  <dcterms:modified xsi:type="dcterms:W3CDTF">2020-01-10T14:39:13Z</dcterms:modified>
</cp:coreProperties>
</file>