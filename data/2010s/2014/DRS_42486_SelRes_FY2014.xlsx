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300" yWindow="2250" windowWidth="15600" windowHeight="7890" firstSheet="1" activeTab="11"/>
  </bookViews>
  <sheets>
    <sheet name="201310" sheetId="6" r:id="rId1"/>
    <sheet name="201311" sheetId="7" r:id="rId2"/>
    <sheet name="201312" sheetId="8" r:id="rId3"/>
    <sheet name="201401" sheetId="9" r:id="rId4"/>
    <sheet name="201402" sheetId="10" r:id="rId5"/>
    <sheet name="201403" sheetId="11" r:id="rId6"/>
    <sheet name="201404" sheetId="12" r:id="rId7"/>
    <sheet name="201405" sheetId="4" r:id="rId8"/>
    <sheet name="201406" sheetId="5" r:id="rId9"/>
    <sheet name="201407" sheetId="2" r:id="rId10"/>
    <sheet name="201408" sheetId="3" r:id="rId11"/>
    <sheet name="201409" sheetId="1" r:id="rId12"/>
  </sheets>
  <definedNames>
    <definedName name="_xlnm.Print_Area" localSheetId="0">'201310'!$A$1:$H$39</definedName>
    <definedName name="_xlnm.Print_Area" localSheetId="1">'201311'!$A$1:$H$39</definedName>
    <definedName name="_xlnm.Print_Area" localSheetId="2">'201312'!$A$1:$H$39</definedName>
    <definedName name="_xlnm.Print_Area" localSheetId="3">'201401'!$A$1:$H$39</definedName>
    <definedName name="_xlnm.Print_Area" localSheetId="4">'201402'!$A$1:$H$38</definedName>
    <definedName name="_xlnm.Print_Area" localSheetId="5">'201403'!$A$1:$H$38</definedName>
    <definedName name="_xlnm.Print_Area" localSheetId="6">'201404'!$A$1:$H$39</definedName>
    <definedName name="_xlnm.Print_Area" localSheetId="7">'201405'!$A$1:$H$38</definedName>
    <definedName name="_xlnm.Print_Area" localSheetId="8">'201406'!$A$1:$H$38</definedName>
    <definedName name="_xlnm.Print_Area" localSheetId="9">'201407'!$A$1:$H$38</definedName>
    <definedName name="_xlnm.Print_Area" localSheetId="10">'201408'!$A$1:$H$38</definedName>
    <definedName name="_xlnm.Print_Area" localSheetId="11">'201409'!$A$1:$J$37</definedName>
  </definedNames>
  <calcPr calcId="145621"/>
</workbook>
</file>

<file path=xl/calcChain.xml><?xml version="1.0" encoding="utf-8"?>
<calcChain xmlns="http://schemas.openxmlformats.org/spreadsheetml/2006/main">
  <c r="G36" i="12" l="1"/>
  <c r="C36" i="12"/>
  <c r="J35" i="12"/>
  <c r="I35" i="12"/>
  <c r="H35" i="12"/>
  <c r="G35" i="12"/>
  <c r="F35" i="12"/>
  <c r="E35" i="12"/>
  <c r="D35" i="12"/>
  <c r="C35" i="12"/>
  <c r="B35" i="12"/>
  <c r="J23" i="12"/>
  <c r="J36" i="12" s="1"/>
  <c r="I23" i="12"/>
  <c r="I36" i="12" s="1"/>
  <c r="H23" i="12"/>
  <c r="H36" i="12" s="1"/>
  <c r="G23" i="12"/>
  <c r="F23" i="12"/>
  <c r="F36" i="12" s="1"/>
  <c r="E23" i="12"/>
  <c r="E36" i="12" s="1"/>
  <c r="D23" i="12"/>
  <c r="D36" i="12" s="1"/>
  <c r="C23" i="12"/>
  <c r="B23" i="12"/>
  <c r="B36" i="12" s="1"/>
  <c r="J34" i="11"/>
  <c r="I34" i="11"/>
  <c r="H34" i="11"/>
  <c r="G34" i="11"/>
  <c r="F34" i="11"/>
  <c r="E34" i="11"/>
  <c r="D34" i="11"/>
  <c r="C34" i="11"/>
  <c r="B34" i="11"/>
  <c r="J23" i="11"/>
  <c r="J35" i="11" s="1"/>
  <c r="I23" i="11"/>
  <c r="I35" i="11" s="1"/>
  <c r="H23" i="11"/>
  <c r="H35" i="11" s="1"/>
  <c r="G23" i="11"/>
  <c r="F23" i="11"/>
  <c r="F35" i="11" s="1"/>
  <c r="E23" i="11"/>
  <c r="E35" i="11" s="1"/>
  <c r="D23" i="11"/>
  <c r="D35" i="11" s="1"/>
  <c r="C23" i="11"/>
  <c r="B23" i="11"/>
  <c r="B35" i="11" s="1"/>
  <c r="J34" i="10"/>
  <c r="I34" i="10"/>
  <c r="H34" i="10"/>
  <c r="G34" i="10"/>
  <c r="F34" i="10"/>
  <c r="E34" i="10"/>
  <c r="D34" i="10"/>
  <c r="C34" i="10"/>
  <c r="B34" i="10"/>
  <c r="J23" i="10"/>
  <c r="I23" i="10"/>
  <c r="I35" i="10" s="1"/>
  <c r="H23" i="10"/>
  <c r="H35" i="10" s="1"/>
  <c r="G23" i="10"/>
  <c r="G35" i="10" s="1"/>
  <c r="F23" i="10"/>
  <c r="E23" i="10"/>
  <c r="E35" i="10" s="1"/>
  <c r="D23" i="10"/>
  <c r="D35" i="10" s="1"/>
  <c r="C23" i="10"/>
  <c r="C35" i="10" s="1"/>
  <c r="B23" i="10"/>
  <c r="H23" i="6"/>
  <c r="H23" i="7"/>
  <c r="H36" i="7" s="1"/>
  <c r="H23" i="8"/>
  <c r="J36" i="9"/>
  <c r="I36" i="9"/>
  <c r="H36" i="9"/>
  <c r="G36" i="9"/>
  <c r="F36" i="9"/>
  <c r="E36" i="9"/>
  <c r="D36" i="9"/>
  <c r="C36" i="9"/>
  <c r="B36" i="9"/>
  <c r="G36" i="8"/>
  <c r="C36" i="8"/>
  <c r="J35" i="8"/>
  <c r="I35" i="8"/>
  <c r="H35" i="8"/>
  <c r="H36" i="8" s="1"/>
  <c r="G35" i="8"/>
  <c r="F35" i="8"/>
  <c r="E35" i="8"/>
  <c r="D35" i="8"/>
  <c r="D36" i="8" s="1"/>
  <c r="C35" i="8"/>
  <c r="B35" i="8"/>
  <c r="J23" i="8"/>
  <c r="J36" i="8" s="1"/>
  <c r="I23" i="8"/>
  <c r="I36" i="8" s="1"/>
  <c r="G23" i="8"/>
  <c r="F23" i="8"/>
  <c r="F36" i="8" s="1"/>
  <c r="E23" i="8"/>
  <c r="E36" i="8" s="1"/>
  <c r="D23" i="8"/>
  <c r="C23" i="8"/>
  <c r="B23" i="8"/>
  <c r="B36" i="8" s="1"/>
  <c r="J35" i="7"/>
  <c r="I35" i="7"/>
  <c r="H35" i="7"/>
  <c r="G35" i="7"/>
  <c r="F35" i="7"/>
  <c r="E35" i="7"/>
  <c r="D35" i="7"/>
  <c r="C35" i="7"/>
  <c r="B35" i="7"/>
  <c r="J23" i="7"/>
  <c r="J36" i="7" s="1"/>
  <c r="I23" i="7"/>
  <c r="I36" i="7" s="1"/>
  <c r="G23" i="7"/>
  <c r="G36" i="7" s="1"/>
  <c r="F23" i="7"/>
  <c r="F36" i="7" s="1"/>
  <c r="E23" i="7"/>
  <c r="E36" i="7" s="1"/>
  <c r="D23" i="7"/>
  <c r="D36" i="7" s="1"/>
  <c r="C23" i="7"/>
  <c r="C36" i="7" s="1"/>
  <c r="B23" i="7"/>
  <c r="B36" i="7" s="1"/>
  <c r="J35" i="6"/>
  <c r="I35" i="6"/>
  <c r="H35" i="6"/>
  <c r="G35" i="6"/>
  <c r="F35" i="6"/>
  <c r="E35" i="6"/>
  <c r="D35" i="6"/>
  <c r="C35" i="6"/>
  <c r="B35" i="6"/>
  <c r="J23" i="6"/>
  <c r="J36" i="6" s="1"/>
  <c r="I23" i="6"/>
  <c r="I36" i="6" s="1"/>
  <c r="H36" i="6"/>
  <c r="G23" i="6"/>
  <c r="G36" i="6" s="1"/>
  <c r="F23" i="6"/>
  <c r="F36" i="6" s="1"/>
  <c r="E23" i="6"/>
  <c r="E36" i="6" s="1"/>
  <c r="D23" i="6"/>
  <c r="D36" i="6" s="1"/>
  <c r="C23" i="6"/>
  <c r="C36" i="6" s="1"/>
  <c r="B23" i="6"/>
  <c r="B36" i="6" s="1"/>
  <c r="I34" i="5"/>
  <c r="H34" i="5"/>
  <c r="G34" i="5"/>
  <c r="F34" i="5"/>
  <c r="E34" i="5"/>
  <c r="D34" i="5"/>
  <c r="C34" i="5"/>
  <c r="B34" i="5"/>
  <c r="H32" i="5"/>
  <c r="J32" i="5" s="1"/>
  <c r="H31" i="5"/>
  <c r="J31" i="5" s="1"/>
  <c r="H30" i="5"/>
  <c r="J30" i="5" s="1"/>
  <c r="H29" i="5"/>
  <c r="J29" i="5" s="1"/>
  <c r="H28" i="5"/>
  <c r="J28" i="5" s="1"/>
  <c r="H27" i="5"/>
  <c r="J27" i="5" s="1"/>
  <c r="H26" i="5"/>
  <c r="J26" i="5" s="1"/>
  <c r="H25" i="5"/>
  <c r="J25" i="5" s="1"/>
  <c r="H24" i="5"/>
  <c r="J24" i="5" s="1"/>
  <c r="I23" i="5"/>
  <c r="I35" i="5" s="1"/>
  <c r="G23" i="5"/>
  <c r="G35" i="5" s="1"/>
  <c r="F23" i="5"/>
  <c r="F35" i="5" s="1"/>
  <c r="E23" i="5"/>
  <c r="E35" i="5" s="1"/>
  <c r="D23" i="5"/>
  <c r="D35" i="5" s="1"/>
  <c r="C23" i="5"/>
  <c r="C35" i="5" s="1"/>
  <c r="B23" i="5"/>
  <c r="B35" i="5" s="1"/>
  <c r="J21" i="5"/>
  <c r="H21" i="5"/>
  <c r="J20" i="5"/>
  <c r="H20" i="5"/>
  <c r="J19" i="5"/>
  <c r="H19" i="5"/>
  <c r="J18" i="5"/>
  <c r="H18" i="5"/>
  <c r="J17" i="5"/>
  <c r="H17" i="5"/>
  <c r="J16" i="5"/>
  <c r="H16" i="5"/>
  <c r="J15" i="5"/>
  <c r="H15" i="5"/>
  <c r="J14" i="5"/>
  <c r="H14" i="5"/>
  <c r="J13" i="5"/>
  <c r="H13" i="5"/>
  <c r="J12" i="5"/>
  <c r="H12" i="5"/>
  <c r="J11" i="5"/>
  <c r="H11" i="5"/>
  <c r="J10" i="5"/>
  <c r="H10" i="5"/>
  <c r="J9" i="5"/>
  <c r="H9" i="5"/>
  <c r="J8" i="5"/>
  <c r="H8" i="5"/>
  <c r="J7" i="5"/>
  <c r="J23" i="5" s="1"/>
  <c r="H7" i="5"/>
  <c r="H23" i="5" s="1"/>
  <c r="H35" i="5" s="1"/>
  <c r="G35" i="4"/>
  <c r="C35" i="4"/>
  <c r="I34" i="4"/>
  <c r="H34" i="4"/>
  <c r="G34" i="4"/>
  <c r="F34" i="4"/>
  <c r="E34" i="4"/>
  <c r="D34" i="4"/>
  <c r="C34" i="4"/>
  <c r="B34" i="4"/>
  <c r="J32" i="4"/>
  <c r="J31" i="4"/>
  <c r="J30" i="4"/>
  <c r="J29" i="4"/>
  <c r="J28" i="4"/>
  <c r="J27" i="4"/>
  <c r="J26" i="4"/>
  <c r="J25" i="4"/>
  <c r="J24" i="4"/>
  <c r="J34" i="4" s="1"/>
  <c r="I23" i="4"/>
  <c r="I35" i="4" s="1"/>
  <c r="H23" i="4"/>
  <c r="H35" i="4" s="1"/>
  <c r="G23" i="4"/>
  <c r="F23" i="4"/>
  <c r="F35" i="4" s="1"/>
  <c r="E23" i="4"/>
  <c r="E35" i="4" s="1"/>
  <c r="D23" i="4"/>
  <c r="D35" i="4" s="1"/>
  <c r="C23" i="4"/>
  <c r="B23" i="4"/>
  <c r="B35" i="4" s="1"/>
  <c r="J21" i="4"/>
  <c r="J20" i="4"/>
  <c r="J19" i="4"/>
  <c r="J18" i="4"/>
  <c r="J17" i="4"/>
  <c r="J16" i="4"/>
  <c r="J15" i="4"/>
  <c r="J14" i="4"/>
  <c r="J13" i="4"/>
  <c r="J12" i="4"/>
  <c r="J11" i="4"/>
  <c r="J10" i="4"/>
  <c r="J23" i="4" s="1"/>
  <c r="J35" i="4" s="1"/>
  <c r="J9" i="4"/>
  <c r="J8" i="4"/>
  <c r="J7" i="4"/>
  <c r="G35" i="3"/>
  <c r="J34" i="3"/>
  <c r="I34" i="3"/>
  <c r="H34" i="3"/>
  <c r="G34" i="3"/>
  <c r="F34" i="3"/>
  <c r="E34" i="3"/>
  <c r="D34" i="3"/>
  <c r="C34" i="3"/>
  <c r="C35" i="3" s="1"/>
  <c r="B34" i="3"/>
  <c r="J23" i="3"/>
  <c r="J35" i="3" s="1"/>
  <c r="I23" i="3"/>
  <c r="I35" i="3" s="1"/>
  <c r="H23" i="3"/>
  <c r="H35" i="3" s="1"/>
  <c r="G23" i="3"/>
  <c r="F23" i="3"/>
  <c r="F35" i="3" s="1"/>
  <c r="E23" i="3"/>
  <c r="E35" i="3" s="1"/>
  <c r="D23" i="3"/>
  <c r="D35" i="3" s="1"/>
  <c r="C23" i="3"/>
  <c r="B23" i="3"/>
  <c r="B35" i="3" s="1"/>
  <c r="H35" i="2"/>
  <c r="D35" i="2"/>
  <c r="I34" i="2"/>
  <c r="H34" i="2"/>
  <c r="G34" i="2"/>
  <c r="F34" i="2"/>
  <c r="E34" i="2"/>
  <c r="D34" i="2"/>
  <c r="C34" i="2"/>
  <c r="B34" i="2"/>
  <c r="J32" i="2"/>
  <c r="J31" i="2"/>
  <c r="J30" i="2"/>
  <c r="J29" i="2"/>
  <c r="J28" i="2"/>
  <c r="J27" i="2"/>
  <c r="J26" i="2"/>
  <c r="J25" i="2"/>
  <c r="J24" i="2"/>
  <c r="J34" i="2" s="1"/>
  <c r="I23" i="2"/>
  <c r="I35" i="2" s="1"/>
  <c r="H23" i="2"/>
  <c r="G23" i="2"/>
  <c r="G35" i="2" s="1"/>
  <c r="F23" i="2"/>
  <c r="F35" i="2" s="1"/>
  <c r="E23" i="2"/>
  <c r="E35" i="2" s="1"/>
  <c r="D23" i="2"/>
  <c r="C23" i="2"/>
  <c r="C35" i="2" s="1"/>
  <c r="B23" i="2"/>
  <c r="B35" i="2" s="1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23" i="2" s="1"/>
  <c r="B35" i="10" l="1"/>
  <c r="F35" i="10"/>
  <c r="J35" i="10"/>
  <c r="C35" i="11"/>
  <c r="G35" i="11"/>
  <c r="J34" i="5"/>
  <c r="J35" i="5" s="1"/>
  <c r="J35" i="2"/>
  <c r="H24" i="1" l="1"/>
  <c r="D35" i="1" l="1"/>
  <c r="E35" i="1"/>
  <c r="F35" i="1"/>
  <c r="G35" i="1"/>
  <c r="C24" i="1"/>
  <c r="D24" i="1"/>
  <c r="E24" i="1"/>
  <c r="F24" i="1"/>
  <c r="G24" i="1"/>
  <c r="I24" i="1"/>
  <c r="I35" i="1"/>
  <c r="I36" i="1" l="1"/>
  <c r="J35" i="1"/>
  <c r="J24" i="1"/>
  <c r="E36" i="1"/>
  <c r="F36" i="1"/>
  <c r="J36" i="1" l="1"/>
  <c r="H35" i="1"/>
  <c r="H36" i="1" l="1"/>
  <c r="B24" i="1"/>
  <c r="C35" i="1" l="1"/>
  <c r="C36" i="1" s="1"/>
  <c r="D36" i="1"/>
  <c r="G36" i="1"/>
  <c r="B35" i="1" l="1"/>
  <c r="B36" i="1" s="1"/>
</calcChain>
</file>

<file path=xl/sharedStrings.xml><?xml version="1.0" encoding="utf-8"?>
<sst xmlns="http://schemas.openxmlformats.org/spreadsheetml/2006/main" count="493" uniqueCount="54">
  <si>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</si>
  <si>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</si>
  <si>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</si>
  <si>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</si>
  <si>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</si>
  <si>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</si>
  <si>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</si>
  <si>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</si>
  <si>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</si>
  <si>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</si>
  <si>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</si>
  <si>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</si>
  <si>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</si>
  <si>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</si>
  <si>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</si>
  <si>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</si>
  <si>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</si>
  <si>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</si>
  <si>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</si>
  <si>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</si>
  <si>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</si>
  <si>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</si>
  <si>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</si>
  <si>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</si>
  <si>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</si>
  <si>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</si>
  <si>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</si>
  <si>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</si>
  <si>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</si>
  <si>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 xml:space="preserve"> 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</si>
  <si>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</si>
  <si>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</si>
  <si>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</si>
  <si>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</si>
  <si>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</si>
  <si>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</si>
  <si>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</si>
  <si>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</si>
  <si>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Coast Guard Reserve</t>
  </si>
  <si>
    <t>TOTAL</t>
  </si>
  <si>
    <t xml:space="preserve"> September 30, 2014</t>
  </si>
  <si>
    <t xml:space="preserve"> July 31, 2014</t>
  </si>
  <si>
    <t xml:space="preserve"> August 31, 2014</t>
  </si>
  <si>
    <t xml:space="preserve"> May 31, 2014</t>
  </si>
  <si>
    <t xml:space="preserve"> June 30, 2014</t>
  </si>
  <si>
    <t>October  31, 2013</t>
  </si>
  <si>
    <t>November  30, 2013</t>
  </si>
  <si>
    <t>December  31, 2013</t>
  </si>
  <si>
    <t>January  31, 2014</t>
  </si>
  <si>
    <t>February 28, 2014</t>
  </si>
  <si>
    <t>March 31, 2014</t>
  </si>
  <si>
    <t>April 30, 2014</t>
  </si>
  <si>
    <t>ENLISTED UNKNOWN GRADE</t>
  </si>
  <si>
    <t>OFFICER UNKNOWN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</si>
</sst>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64">
    <xf numFmtId="0" fontId="0" fillId="0" borderId="0" xfId="0"/>
    <xf numFmtId="0" fontId="1" fillId="0" borderId="0" xfId="0" applyFont="1"/>
    <xf numFmtId="3" fontId="0" fillId="0" borderId="1" xfId="0" applyNumberFormat="1" applyBorder="1"/>
    <xf numFmtId="0" fontId="0" fillId="0" borderId="0" xfId="0" applyAlignment="1">
      <alignment vertical="center"/>
    </xf>
    <xf numFmtId="3" fontId="0" fillId="0" borderId="12" xfId="0" applyNumberFormat="1" applyBorder="1"/>
    <xf numFmtId="3" fontId="0" fillId="0" borderId="18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4" xfId="0" applyNumberFormat="1" applyBorder="1"/>
    <xf numFmtId="3" fontId="0" fillId="0" borderId="17" xfId="0" applyNumberFormat="1" applyBorder="1"/>
    <xf numFmtId="0" fontId="27" fillId="0" borderId="20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8" xfId="0" applyFont="1" applyBorder="1" applyAlignment="1">
      <alignment horizontal="center" wrapText="1"/>
    </xf>
    <xf numFmtId="0" fontId="30" fillId="0" borderId="27" xfId="0" applyFont="1" applyFill="1" applyBorder="1" applyAlignment="1">
      <alignment horizontal="center" wrapText="1"/>
    </xf>
    <xf numFmtId="0" fontId="30" fillId="0" borderId="36" xfId="0" applyFont="1" applyBorder="1" applyAlignment="1">
      <alignment vertical="center" wrapText="1"/>
    </xf>
    <xf numFmtId="0" fontId="30" fillId="0" borderId="37" xfId="0" applyFont="1" applyBorder="1" applyAlignment="1">
      <alignment horizontal="center" wrapText="1"/>
    </xf>
    <xf numFmtId="0" fontId="26" fillId="0" borderId="36" xfId="0" applyFont="1" applyBorder="1"/>
    <xf numFmtId="3" fontId="0" fillId="0" borderId="38" xfId="0" applyNumberFormat="1" applyFill="1" applyBorder="1"/>
    <xf numFmtId="0" fontId="27" fillId="0" borderId="36" xfId="0" applyFont="1" applyBorder="1"/>
    <xf numFmtId="3" fontId="0" fillId="0" borderId="39" xfId="0" applyNumberFormat="1" applyBorder="1"/>
    <xf numFmtId="0" fontId="27" fillId="0" borderId="40" xfId="0" applyFont="1" applyBorder="1"/>
    <xf numFmtId="3" fontId="0" fillId="0" borderId="38" xfId="0" applyNumberFormat="1" applyBorder="1"/>
    <xf numFmtId="3" fontId="0" fillId="0" borderId="41" xfId="0" applyNumberFormat="1" applyBorder="1"/>
    <xf numFmtId="0" fontId="30" fillId="0" borderId="28" xfId="0" applyFont="1" applyFill="1" applyBorder="1" applyAlignment="1">
      <alignment horizontal="center" wrapText="1"/>
    </xf>
    <xf numFmtId="3" fontId="0" fillId="0" borderId="24" xfId="0" applyNumberFormat="1" applyBorder="1"/>
    <xf numFmtId="3" fontId="0" fillId="0" borderId="11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0" fontId="30" fillId="0" borderId="46" xfId="0" applyFont="1" applyFill="1" applyBorder="1" applyAlignment="1">
      <alignment horizontal="center" wrapText="1"/>
    </xf>
    <xf numFmtId="3" fontId="1" fillId="2" borderId="25" xfId="0" applyNumberFormat="1" applyFont="1" applyFill="1" applyBorder="1"/>
    <xf numFmtId="3" fontId="1" fillId="34" borderId="50" xfId="0" applyNumberFormat="1" applyFont="1" applyFill="1" applyBorder="1" applyAlignment="1">
      <alignment vertical="center"/>
    </xf>
    <xf numFmtId="0" fontId="30" fillId="2" borderId="44" xfId="0" applyFont="1" applyFill="1" applyBorder="1" applyAlignment="1">
      <alignment horizontal="center" wrapText="1"/>
    </xf>
    <xf numFmtId="3" fontId="1" fillId="2" borderId="47" xfId="0" applyNumberFormat="1" applyFont="1" applyFill="1" applyBorder="1"/>
    <xf numFmtId="3" fontId="1" fillId="2" borderId="48" xfId="0" applyNumberFormat="1" applyFont="1" applyFill="1" applyBorder="1"/>
    <xf numFmtId="3" fontId="1" fillId="2" borderId="49" xfId="0" applyNumberFormat="1" applyFont="1" applyFill="1" applyBorder="1"/>
    <xf numFmtId="3" fontId="1" fillId="2" borderId="19" xfId="0" applyNumberFormat="1" applyFont="1" applyFill="1" applyBorder="1"/>
    <xf numFmtId="3" fontId="1" fillId="2" borderId="26" xfId="0" applyNumberFormat="1" applyFont="1" applyFill="1" applyBorder="1"/>
    <xf numFmtId="3" fontId="1" fillId="2" borderId="42" xfId="0" applyNumberFormat="1" applyFont="1" applyFill="1" applyBorder="1"/>
    <xf numFmtId="3" fontId="1" fillId="34" borderId="21" xfId="0" applyNumberFormat="1" applyFont="1" applyFill="1" applyBorder="1" applyAlignment="1">
      <alignment vertical="center"/>
    </xf>
    <xf numFmtId="3" fontId="1" fillId="34" borderId="45" xfId="0" applyNumberFormat="1" applyFont="1" applyFill="1" applyBorder="1" applyAlignment="1">
      <alignment vertical="center"/>
    </xf>
    <xf numFmtId="3" fontId="1" fillId="34" borderId="43" xfId="0" applyNumberFormat="1" applyFont="1" applyFill="1" applyBorder="1" applyAlignment="1">
      <alignment vertical="center"/>
    </xf>
    <xf numFmtId="3" fontId="0" fillId="0" borderId="41" xfId="0" applyNumberFormat="1" applyFill="1" applyBorder="1"/>
    <xf numFmtId="3" fontId="1" fillId="2" borderId="51" xfId="0" applyNumberFormat="1" applyFont="1" applyFill="1" applyBorder="1"/>
    <xf numFmtId="3" fontId="0" fillId="0" borderId="52" xfId="0" applyNumberFormat="1" applyBorder="1"/>
    <xf numFmtId="3" fontId="1" fillId="2" borderId="44" xfId="0" applyNumberFormat="1" applyFont="1" applyFill="1" applyBorder="1"/>
    <xf numFmtId="3" fontId="1" fillId="2" borderId="37" xfId="0" applyNumberFormat="1" applyFont="1" applyFill="1" applyBorder="1"/>
    <xf numFmtId="3" fontId="1" fillId="2" borderId="35" xfId="0" applyNumberFormat="1" applyFont="1" applyFill="1" applyBorder="1"/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15" fontId="29" fillId="0" borderId="32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33" xfId="0" quotePrefix="1" applyNumberFormat="1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0" fillId="2" borderId="26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J40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45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5</v>
      </c>
      <c r="I8" s="4">
        <v>0</v>
      </c>
      <c r="J8" s="19">
        <v>5</v>
      </c>
    </row>
    <row r="9" spans="1:10" x14ac:dyDescent="0.25">
      <c r="A9" s="18" t="s">
        <v>3</v>
      </c>
      <c r="B9" s="4">
        <v>64</v>
      </c>
      <c r="C9" s="2">
        <v>38</v>
      </c>
      <c r="D9" s="2">
        <v>16</v>
      </c>
      <c r="E9" s="2">
        <v>5</v>
      </c>
      <c r="F9" s="2">
        <v>33</v>
      </c>
      <c r="G9" s="27">
        <v>26</v>
      </c>
      <c r="H9" s="34">
        <v>182</v>
      </c>
      <c r="I9" s="4">
        <v>2</v>
      </c>
      <c r="J9" s="19">
        <v>184</v>
      </c>
    </row>
    <row r="10" spans="1:10" x14ac:dyDescent="0.25">
      <c r="A10" s="18" t="s">
        <v>4</v>
      </c>
      <c r="B10" s="4">
        <v>158</v>
      </c>
      <c r="C10" s="2">
        <v>67</v>
      </c>
      <c r="D10" s="2">
        <v>36</v>
      </c>
      <c r="E10" s="2">
        <v>7</v>
      </c>
      <c r="F10" s="2">
        <v>113</v>
      </c>
      <c r="G10" s="27">
        <v>56</v>
      </c>
      <c r="H10" s="34">
        <v>437</v>
      </c>
      <c r="I10" s="4">
        <v>1</v>
      </c>
      <c r="J10" s="19">
        <v>438</v>
      </c>
    </row>
    <row r="11" spans="1:10" x14ac:dyDescent="0.25">
      <c r="A11" s="18" t="s">
        <v>5</v>
      </c>
      <c r="B11" s="4">
        <v>1490</v>
      </c>
      <c r="C11" s="2">
        <v>1775</v>
      </c>
      <c r="D11" s="2">
        <v>1375</v>
      </c>
      <c r="E11" s="2">
        <v>323</v>
      </c>
      <c r="F11" s="2">
        <v>1013</v>
      </c>
      <c r="G11" s="27">
        <v>1132</v>
      </c>
      <c r="H11" s="34">
        <v>7108</v>
      </c>
      <c r="I11" s="4">
        <v>41</v>
      </c>
      <c r="J11" s="19">
        <v>7149</v>
      </c>
    </row>
    <row r="12" spans="1:10" x14ac:dyDescent="0.25">
      <c r="A12" s="18" t="s">
        <v>6</v>
      </c>
      <c r="B12" s="4">
        <v>3660</v>
      </c>
      <c r="C12" s="2">
        <v>5608</v>
      </c>
      <c r="D12" s="2">
        <v>3272</v>
      </c>
      <c r="E12" s="2">
        <v>912</v>
      </c>
      <c r="F12" s="2">
        <v>4073</v>
      </c>
      <c r="G12" s="27">
        <v>4303</v>
      </c>
      <c r="H12" s="34">
        <v>21828</v>
      </c>
      <c r="I12" s="4">
        <v>188</v>
      </c>
      <c r="J12" s="19">
        <v>22016</v>
      </c>
    </row>
    <row r="13" spans="1:10" x14ac:dyDescent="0.25">
      <c r="A13" s="18" t="s">
        <v>7</v>
      </c>
      <c r="B13" s="4">
        <v>6721</v>
      </c>
      <c r="C13" s="2">
        <v>6748</v>
      </c>
      <c r="D13" s="2">
        <v>4431</v>
      </c>
      <c r="E13" s="2">
        <v>1076</v>
      </c>
      <c r="F13" s="2">
        <v>4074</v>
      </c>
      <c r="G13" s="27">
        <v>4683</v>
      </c>
      <c r="H13" s="34">
        <v>27733</v>
      </c>
      <c r="I13" s="4">
        <v>283</v>
      </c>
      <c r="J13" s="19">
        <v>28016</v>
      </c>
    </row>
    <row r="14" spans="1:10" x14ac:dyDescent="0.25">
      <c r="A14" s="18" t="s">
        <v>8</v>
      </c>
      <c r="B14" s="4">
        <v>10429</v>
      </c>
      <c r="C14" s="2">
        <v>10431</v>
      </c>
      <c r="D14" s="2">
        <v>3509</v>
      </c>
      <c r="E14" s="2">
        <v>1060</v>
      </c>
      <c r="F14" s="2">
        <v>3172</v>
      </c>
      <c r="G14" s="27">
        <v>2919</v>
      </c>
      <c r="H14" s="34">
        <v>31520</v>
      </c>
      <c r="I14" s="4">
        <v>472</v>
      </c>
      <c r="J14" s="19">
        <v>31992</v>
      </c>
    </row>
    <row r="15" spans="1:10" x14ac:dyDescent="0.25">
      <c r="A15" s="18" t="s">
        <v>9</v>
      </c>
      <c r="B15" s="4">
        <v>8235</v>
      </c>
      <c r="C15" s="2">
        <v>4280</v>
      </c>
      <c r="D15" s="2">
        <v>1051</v>
      </c>
      <c r="E15" s="2">
        <v>223</v>
      </c>
      <c r="F15" s="2">
        <v>1183</v>
      </c>
      <c r="G15" s="27">
        <v>523</v>
      </c>
      <c r="H15" s="34">
        <v>15495</v>
      </c>
      <c r="I15" s="4">
        <v>81</v>
      </c>
      <c r="J15" s="19">
        <v>15576</v>
      </c>
    </row>
    <row r="16" spans="1:10" x14ac:dyDescent="0.25">
      <c r="A16" s="18" t="s">
        <v>10</v>
      </c>
      <c r="B16" s="4">
        <v>5769</v>
      </c>
      <c r="C16" s="2">
        <v>2878</v>
      </c>
      <c r="D16" s="2">
        <v>643</v>
      </c>
      <c r="E16" s="2">
        <v>292</v>
      </c>
      <c r="F16" s="2">
        <v>1151</v>
      </c>
      <c r="G16" s="27">
        <v>332</v>
      </c>
      <c r="H16" s="34">
        <v>11065</v>
      </c>
      <c r="I16" s="4">
        <v>73</v>
      </c>
      <c r="J16" s="19">
        <v>11138</v>
      </c>
    </row>
    <row r="17" spans="1:10" x14ac:dyDescent="0.25">
      <c r="A17" s="18" t="s">
        <v>11</v>
      </c>
      <c r="B17" s="4">
        <v>383</v>
      </c>
      <c r="C17" s="2">
        <v>91</v>
      </c>
      <c r="D17" s="2">
        <v>2</v>
      </c>
      <c r="E17" s="2">
        <v>14</v>
      </c>
      <c r="F17" s="2">
        <v>0</v>
      </c>
      <c r="G17" s="27">
        <v>0</v>
      </c>
      <c r="H17" s="34">
        <v>490</v>
      </c>
      <c r="I17" s="4">
        <v>0</v>
      </c>
      <c r="J17" s="19">
        <v>490</v>
      </c>
    </row>
    <row r="18" spans="1:10" x14ac:dyDescent="0.25">
      <c r="A18" s="18" t="s">
        <v>12</v>
      </c>
      <c r="B18" s="4">
        <v>1443</v>
      </c>
      <c r="C18" s="2">
        <v>613</v>
      </c>
      <c r="D18" s="2">
        <v>12</v>
      </c>
      <c r="E18" s="2">
        <v>39</v>
      </c>
      <c r="F18" s="2">
        <v>0</v>
      </c>
      <c r="G18" s="27">
        <v>0</v>
      </c>
      <c r="H18" s="34">
        <v>2107</v>
      </c>
      <c r="I18" s="4">
        <v>22</v>
      </c>
      <c r="J18" s="19">
        <v>2129</v>
      </c>
    </row>
    <row r="19" spans="1:10" x14ac:dyDescent="0.25">
      <c r="A19" s="18" t="s">
        <v>13</v>
      </c>
      <c r="B19" s="4">
        <v>1853</v>
      </c>
      <c r="C19" s="2">
        <v>604</v>
      </c>
      <c r="D19" s="2">
        <v>38</v>
      </c>
      <c r="E19" s="2">
        <v>82</v>
      </c>
      <c r="F19" s="2">
        <v>0</v>
      </c>
      <c r="G19" s="27">
        <v>0</v>
      </c>
      <c r="H19" s="34">
        <v>2577</v>
      </c>
      <c r="I19" s="4">
        <v>53</v>
      </c>
      <c r="J19" s="19">
        <v>2630</v>
      </c>
    </row>
    <row r="20" spans="1:10" x14ac:dyDescent="0.25">
      <c r="A20" s="18" t="s">
        <v>14</v>
      </c>
      <c r="B20" s="4">
        <v>3701</v>
      </c>
      <c r="C20" s="2">
        <v>1503</v>
      </c>
      <c r="D20" s="2">
        <v>35</v>
      </c>
      <c r="E20" s="2">
        <v>124</v>
      </c>
      <c r="F20" s="2">
        <v>0</v>
      </c>
      <c r="G20" s="27">
        <v>0</v>
      </c>
      <c r="H20" s="34">
        <v>5363</v>
      </c>
      <c r="I20" s="4">
        <v>68</v>
      </c>
      <c r="J20" s="19">
        <v>5431</v>
      </c>
    </row>
    <row r="21" spans="1:10" x14ac:dyDescent="0.25">
      <c r="A21" s="18" t="s">
        <v>15</v>
      </c>
      <c r="B21" s="4">
        <v>1106</v>
      </c>
      <c r="C21" s="2">
        <v>433</v>
      </c>
      <c r="D21" s="2">
        <v>0</v>
      </c>
      <c r="E21" s="2">
        <v>24</v>
      </c>
      <c r="F21" s="2">
        <v>0</v>
      </c>
      <c r="G21" s="27">
        <v>0</v>
      </c>
      <c r="H21" s="34">
        <v>1563</v>
      </c>
      <c r="I21" s="4">
        <v>0</v>
      </c>
      <c r="J21" s="19">
        <v>1563</v>
      </c>
    </row>
    <row r="22" spans="1:10" ht="15.75" thickBot="1" x14ac:dyDescent="0.3">
      <c r="A22" s="20"/>
      <c r="B22" s="7"/>
      <c r="C22" s="8"/>
      <c r="D22" s="8"/>
      <c r="E22" s="8"/>
      <c r="F22" s="8"/>
      <c r="G22" s="28"/>
      <c r="H22" s="35"/>
      <c r="I22" s="7"/>
      <c r="J22" s="21"/>
    </row>
    <row r="23" spans="1:10" ht="24.95" customHeight="1" thickBot="1" x14ac:dyDescent="0.3">
      <c r="A23" s="22" t="s">
        <v>16</v>
      </c>
      <c r="B23" s="37">
        <f>SUM(B7:B22)</f>
        <v>45014</v>
      </c>
      <c r="C23" s="37">
        <f t="shared" ref="C23:J23" si="0">SUM(C7:C22)</f>
        <v>35069</v>
      </c>
      <c r="D23" s="37">
        <f t="shared" si="0"/>
        <v>14420</v>
      </c>
      <c r="E23" s="37">
        <f t="shared" si="0"/>
        <v>4181</v>
      </c>
      <c r="F23" s="37">
        <f t="shared" si="0"/>
        <v>14816</v>
      </c>
      <c r="G23" s="38">
        <f t="shared" si="0"/>
        <v>13974</v>
      </c>
      <c r="H23" s="31">
        <f t="shared" si="0"/>
        <v>127474</v>
      </c>
      <c r="I23" s="37">
        <f t="shared" si="0"/>
        <v>1284</v>
      </c>
      <c r="J23" s="48">
        <f t="shared" si="0"/>
        <v>128758</v>
      </c>
    </row>
    <row r="24" spans="1:10" x14ac:dyDescent="0.25">
      <c r="A24" s="18" t="s">
        <v>17</v>
      </c>
      <c r="B24" s="5">
        <v>2079</v>
      </c>
      <c r="C24" s="6">
        <v>1480</v>
      </c>
      <c r="D24" s="6">
        <v>370</v>
      </c>
      <c r="E24" s="6">
        <v>170</v>
      </c>
      <c r="F24" s="6">
        <v>1924</v>
      </c>
      <c r="G24" s="26">
        <v>1019</v>
      </c>
      <c r="H24" s="34">
        <v>7042</v>
      </c>
      <c r="I24" s="5">
        <v>70</v>
      </c>
      <c r="J24" s="23">
        <v>7112</v>
      </c>
    </row>
    <row r="25" spans="1:10" x14ac:dyDescent="0.25">
      <c r="A25" s="18" t="s">
        <v>18</v>
      </c>
      <c r="B25" s="4">
        <v>7661</v>
      </c>
      <c r="C25" s="2">
        <v>5650</v>
      </c>
      <c r="D25" s="2">
        <v>933</v>
      </c>
      <c r="E25" s="2">
        <v>484</v>
      </c>
      <c r="F25" s="2">
        <v>4591</v>
      </c>
      <c r="G25" s="27">
        <v>3124</v>
      </c>
      <c r="H25" s="34">
        <v>22443</v>
      </c>
      <c r="I25" s="4">
        <v>136</v>
      </c>
      <c r="J25" s="23">
        <v>22579</v>
      </c>
    </row>
    <row r="26" spans="1:10" x14ac:dyDescent="0.25">
      <c r="A26" s="18" t="s">
        <v>19</v>
      </c>
      <c r="B26" s="4">
        <v>22476</v>
      </c>
      <c r="C26" s="2">
        <v>15326</v>
      </c>
      <c r="D26" s="2">
        <v>3831</v>
      </c>
      <c r="E26" s="2">
        <v>1133</v>
      </c>
      <c r="F26" s="2">
        <v>15335</v>
      </c>
      <c r="G26" s="27">
        <v>8694</v>
      </c>
      <c r="H26" s="34">
        <v>66795</v>
      </c>
      <c r="I26" s="4">
        <v>693</v>
      </c>
      <c r="J26" s="23">
        <v>67488</v>
      </c>
    </row>
    <row r="27" spans="1:10" x14ac:dyDescent="0.25">
      <c r="A27" s="18" t="s">
        <v>20</v>
      </c>
      <c r="B27" s="4">
        <v>40184</v>
      </c>
      <c r="C27" s="2">
        <v>20109</v>
      </c>
      <c r="D27" s="2">
        <v>11335</v>
      </c>
      <c r="E27" s="2">
        <v>1888</v>
      </c>
      <c r="F27" s="2">
        <v>19187</v>
      </c>
      <c r="G27" s="27">
        <v>12536</v>
      </c>
      <c r="H27" s="34">
        <v>105239</v>
      </c>
      <c r="I27" s="4">
        <v>1270</v>
      </c>
      <c r="J27" s="23">
        <v>106509</v>
      </c>
    </row>
    <row r="28" spans="1:10" x14ac:dyDescent="0.25">
      <c r="A28" s="18" t="s">
        <v>21</v>
      </c>
      <c r="B28" s="4">
        <v>65240</v>
      </c>
      <c r="C28" s="2">
        <v>26816</v>
      </c>
      <c r="D28" s="2">
        <v>15001</v>
      </c>
      <c r="E28" s="2">
        <v>5316</v>
      </c>
      <c r="F28" s="2">
        <v>19154</v>
      </c>
      <c r="G28" s="27">
        <v>9545</v>
      </c>
      <c r="H28" s="34">
        <v>141072</v>
      </c>
      <c r="I28" s="4">
        <v>1793</v>
      </c>
      <c r="J28" s="23">
        <v>142865</v>
      </c>
    </row>
    <row r="29" spans="1:10" x14ac:dyDescent="0.25">
      <c r="A29" s="18" t="s">
        <v>22</v>
      </c>
      <c r="B29" s="4">
        <v>94505</v>
      </c>
      <c r="C29" s="2">
        <v>60101</v>
      </c>
      <c r="D29" s="2">
        <v>8904</v>
      </c>
      <c r="E29" s="2">
        <v>7458</v>
      </c>
      <c r="F29" s="2">
        <v>15566</v>
      </c>
      <c r="G29" s="27">
        <v>15073</v>
      </c>
      <c r="H29" s="34">
        <v>201607</v>
      </c>
      <c r="I29" s="4">
        <v>2317</v>
      </c>
      <c r="J29" s="23">
        <v>203924</v>
      </c>
    </row>
    <row r="30" spans="1:10" x14ac:dyDescent="0.25">
      <c r="A30" s="18" t="s">
        <v>23</v>
      </c>
      <c r="B30" s="4">
        <v>39675</v>
      </c>
      <c r="C30" s="2">
        <v>17938</v>
      </c>
      <c r="D30" s="2">
        <v>5067</v>
      </c>
      <c r="E30" s="2">
        <v>13761</v>
      </c>
      <c r="F30" s="2">
        <v>13533</v>
      </c>
      <c r="G30" s="27">
        <v>4067</v>
      </c>
      <c r="H30" s="34">
        <v>94041</v>
      </c>
      <c r="I30" s="4">
        <v>391</v>
      </c>
      <c r="J30" s="23">
        <v>94432</v>
      </c>
    </row>
    <row r="31" spans="1:10" x14ac:dyDescent="0.25">
      <c r="A31" s="18" t="s">
        <v>24</v>
      </c>
      <c r="B31" s="4">
        <v>19516</v>
      </c>
      <c r="C31" s="2">
        <v>6857</v>
      </c>
      <c r="D31" s="2">
        <v>1430</v>
      </c>
      <c r="E31" s="2">
        <v>3613</v>
      </c>
      <c r="F31" s="2">
        <v>539</v>
      </c>
      <c r="G31" s="27">
        <v>1185</v>
      </c>
      <c r="H31" s="34">
        <v>33140</v>
      </c>
      <c r="I31" s="4">
        <v>1</v>
      </c>
      <c r="J31" s="23">
        <v>33141</v>
      </c>
    </row>
    <row r="32" spans="1:10" x14ac:dyDescent="0.25">
      <c r="A32" s="18" t="s">
        <v>25</v>
      </c>
      <c r="B32" s="2">
        <v>19596</v>
      </c>
      <c r="C32" s="2">
        <v>8526</v>
      </c>
      <c r="D32" s="2">
        <v>879</v>
      </c>
      <c r="E32" s="2">
        <v>1801</v>
      </c>
      <c r="F32" s="2">
        <v>878</v>
      </c>
      <c r="G32" s="27">
        <v>1388</v>
      </c>
      <c r="H32" s="34">
        <v>33068</v>
      </c>
      <c r="I32" s="4">
        <v>0</v>
      </c>
      <c r="J32" s="23">
        <v>33068</v>
      </c>
    </row>
    <row r="33" spans="1:10" x14ac:dyDescent="0.25">
      <c r="A33" s="18" t="s">
        <v>52</v>
      </c>
      <c r="B33" s="2">
        <v>0</v>
      </c>
      <c r="C33" s="2">
        <v>0</v>
      </c>
      <c r="D33" s="2">
        <v>0</v>
      </c>
      <c r="E33" s="2">
        <v>0</v>
      </c>
      <c r="F33" s="2">
        <v>2</v>
      </c>
      <c r="G33" s="27">
        <v>1</v>
      </c>
      <c r="H33" s="44">
        <v>3</v>
      </c>
      <c r="I33" s="4">
        <v>0</v>
      </c>
      <c r="J33" s="45">
        <v>3</v>
      </c>
    </row>
    <row r="34" spans="1:10" s="3" customFormat="1" ht="15.75" thickBot="1" x14ac:dyDescent="0.3">
      <c r="A34" s="18"/>
      <c r="B34" s="9"/>
      <c r="C34" s="10"/>
      <c r="D34" s="10"/>
      <c r="E34" s="10"/>
      <c r="F34" s="10"/>
      <c r="G34" s="29"/>
      <c r="H34" s="36"/>
      <c r="I34" s="9"/>
      <c r="J34" s="24"/>
    </row>
    <row r="35" spans="1:10" s="3" customFormat="1" ht="24.95" customHeight="1" thickBot="1" x14ac:dyDescent="0.3">
      <c r="A35" s="22" t="s">
        <v>26</v>
      </c>
      <c r="B35" s="37">
        <f>SUM(B24:B33)</f>
        <v>310932</v>
      </c>
      <c r="C35" s="37">
        <f t="shared" ref="C35:J35" si="1">SUM(C24:C33)</f>
        <v>162803</v>
      </c>
      <c r="D35" s="37">
        <f t="shared" si="1"/>
        <v>47750</v>
      </c>
      <c r="E35" s="37">
        <f t="shared" si="1"/>
        <v>35624</v>
      </c>
      <c r="F35" s="37">
        <f t="shared" si="1"/>
        <v>90709</v>
      </c>
      <c r="G35" s="38">
        <f t="shared" si="1"/>
        <v>56632</v>
      </c>
      <c r="H35" s="46">
        <f>SUM(H24:H33)</f>
        <v>704450</v>
      </c>
      <c r="I35" s="37">
        <f t="shared" si="1"/>
        <v>6671</v>
      </c>
      <c r="J35" s="47">
        <f t="shared" si="1"/>
        <v>711121</v>
      </c>
    </row>
    <row r="36" spans="1:10" ht="30" customHeight="1" thickTop="1" thickBot="1" x14ac:dyDescent="0.3">
      <c r="A36" s="11" t="s">
        <v>27</v>
      </c>
      <c r="B36" s="40">
        <f t="shared" ref="B36:J36" si="2">SUM(B23,B35)</f>
        <v>355946</v>
      </c>
      <c r="C36" s="40">
        <f t="shared" si="2"/>
        <v>197872</v>
      </c>
      <c r="D36" s="40">
        <f t="shared" si="2"/>
        <v>62170</v>
      </c>
      <c r="E36" s="40">
        <f t="shared" si="2"/>
        <v>39805</v>
      </c>
      <c r="F36" s="40">
        <f t="shared" si="2"/>
        <v>105525</v>
      </c>
      <c r="G36" s="41">
        <f t="shared" si="2"/>
        <v>70606</v>
      </c>
      <c r="H36" s="32">
        <f t="shared" si="2"/>
        <v>831924</v>
      </c>
      <c r="I36" s="40">
        <f t="shared" si="2"/>
        <v>7955</v>
      </c>
      <c r="J36" s="42">
        <f t="shared" si="2"/>
        <v>839879</v>
      </c>
    </row>
    <row r="37" spans="1:10" ht="33" customHeight="1" thickTop="1" x14ac:dyDescent="0.25">
      <c r="B37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J40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46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5</v>
      </c>
      <c r="I8" s="4">
        <v>0</v>
      </c>
      <c r="J8" s="19">
        <v>5</v>
      </c>
    </row>
    <row r="9" spans="1:10" x14ac:dyDescent="0.25">
      <c r="A9" s="18" t="s">
        <v>3</v>
      </c>
      <c r="B9" s="4">
        <v>66</v>
      </c>
      <c r="C9" s="2">
        <v>39</v>
      </c>
      <c r="D9" s="2">
        <v>15</v>
      </c>
      <c r="E9" s="2">
        <v>5</v>
      </c>
      <c r="F9" s="2">
        <v>32</v>
      </c>
      <c r="G9" s="27">
        <v>25</v>
      </c>
      <c r="H9" s="34">
        <v>182</v>
      </c>
      <c r="I9" s="4">
        <v>1</v>
      </c>
      <c r="J9" s="19">
        <v>183</v>
      </c>
    </row>
    <row r="10" spans="1:10" x14ac:dyDescent="0.25">
      <c r="A10" s="18" t="s">
        <v>4</v>
      </c>
      <c r="B10" s="4">
        <v>154</v>
      </c>
      <c r="C10" s="2">
        <v>68</v>
      </c>
      <c r="D10" s="2">
        <v>33</v>
      </c>
      <c r="E10" s="2">
        <v>7</v>
      </c>
      <c r="F10" s="2">
        <v>112</v>
      </c>
      <c r="G10" s="27">
        <v>55</v>
      </c>
      <c r="H10" s="34">
        <v>429</v>
      </c>
      <c r="I10" s="4">
        <v>1</v>
      </c>
      <c r="J10" s="19">
        <v>430</v>
      </c>
    </row>
    <row r="11" spans="1:10" x14ac:dyDescent="0.25">
      <c r="A11" s="18" t="s">
        <v>5</v>
      </c>
      <c r="B11" s="4">
        <v>1514</v>
      </c>
      <c r="C11" s="2">
        <v>1812</v>
      </c>
      <c r="D11" s="2">
        <v>1374</v>
      </c>
      <c r="E11" s="2">
        <v>326</v>
      </c>
      <c r="F11" s="2">
        <v>1004</v>
      </c>
      <c r="G11" s="27">
        <v>1123</v>
      </c>
      <c r="H11" s="34">
        <v>7153</v>
      </c>
      <c r="I11" s="4">
        <v>41</v>
      </c>
      <c r="J11" s="19">
        <v>7194</v>
      </c>
    </row>
    <row r="12" spans="1:10" x14ac:dyDescent="0.25">
      <c r="A12" s="18" t="s">
        <v>6</v>
      </c>
      <c r="B12" s="4">
        <v>3669</v>
      </c>
      <c r="C12" s="2">
        <v>5649</v>
      </c>
      <c r="D12" s="2">
        <v>3262</v>
      </c>
      <c r="E12" s="2">
        <v>904</v>
      </c>
      <c r="F12" s="2">
        <v>4084</v>
      </c>
      <c r="G12" s="27">
        <v>4268</v>
      </c>
      <c r="H12" s="34">
        <v>21836</v>
      </c>
      <c r="I12" s="4">
        <v>187</v>
      </c>
      <c r="J12" s="19">
        <v>22023</v>
      </c>
    </row>
    <row r="13" spans="1:10" x14ac:dyDescent="0.25">
      <c r="A13" s="18" t="s">
        <v>7</v>
      </c>
      <c r="B13" s="4">
        <v>6698</v>
      </c>
      <c r="C13" s="2">
        <v>6705</v>
      </c>
      <c r="D13" s="2">
        <v>4446</v>
      </c>
      <c r="E13" s="2">
        <v>1077</v>
      </c>
      <c r="F13" s="2">
        <v>4078</v>
      </c>
      <c r="G13" s="27">
        <v>4661</v>
      </c>
      <c r="H13" s="34">
        <v>27665</v>
      </c>
      <c r="I13" s="4">
        <v>303</v>
      </c>
      <c r="J13" s="19">
        <v>27968</v>
      </c>
    </row>
    <row r="14" spans="1:10" x14ac:dyDescent="0.25">
      <c r="A14" s="18" t="s">
        <v>8</v>
      </c>
      <c r="B14" s="4">
        <v>10414</v>
      </c>
      <c r="C14" s="2">
        <v>10368</v>
      </c>
      <c r="D14" s="2">
        <v>3571</v>
      </c>
      <c r="E14" s="2">
        <v>1083</v>
      </c>
      <c r="F14" s="2">
        <v>3248</v>
      </c>
      <c r="G14" s="27">
        <v>2928</v>
      </c>
      <c r="H14" s="34">
        <v>31612</v>
      </c>
      <c r="I14" s="4">
        <v>453</v>
      </c>
      <c r="J14" s="19">
        <v>32065</v>
      </c>
    </row>
    <row r="15" spans="1:10" x14ac:dyDescent="0.25">
      <c r="A15" s="18" t="s">
        <v>9</v>
      </c>
      <c r="B15" s="4">
        <v>8141</v>
      </c>
      <c r="C15" s="2">
        <v>4490</v>
      </c>
      <c r="D15" s="2">
        <v>1072</v>
      </c>
      <c r="E15" s="2">
        <v>218</v>
      </c>
      <c r="F15" s="2">
        <v>1097</v>
      </c>
      <c r="G15" s="27">
        <v>521</v>
      </c>
      <c r="H15" s="34">
        <v>15539</v>
      </c>
      <c r="I15" s="4">
        <v>82</v>
      </c>
      <c r="J15" s="19">
        <v>15621</v>
      </c>
    </row>
    <row r="16" spans="1:10" x14ac:dyDescent="0.25">
      <c r="A16" s="18" t="s">
        <v>10</v>
      </c>
      <c r="B16" s="4">
        <v>5800</v>
      </c>
      <c r="C16" s="2">
        <v>2609</v>
      </c>
      <c r="D16" s="2">
        <v>624</v>
      </c>
      <c r="E16" s="2">
        <v>323</v>
      </c>
      <c r="F16" s="2">
        <v>1148</v>
      </c>
      <c r="G16" s="27">
        <v>333</v>
      </c>
      <c r="H16" s="34">
        <v>10837</v>
      </c>
      <c r="I16" s="4">
        <v>73</v>
      </c>
      <c r="J16" s="19">
        <v>10910</v>
      </c>
    </row>
    <row r="17" spans="1:10" x14ac:dyDescent="0.25">
      <c r="A17" s="18" t="s">
        <v>11</v>
      </c>
      <c r="B17" s="4">
        <v>393</v>
      </c>
      <c r="C17" s="2">
        <v>90</v>
      </c>
      <c r="D17" s="2">
        <v>2</v>
      </c>
      <c r="E17" s="2">
        <v>14</v>
      </c>
      <c r="F17" s="2">
        <v>0</v>
      </c>
      <c r="G17" s="27">
        <v>0</v>
      </c>
      <c r="H17" s="34">
        <v>499</v>
      </c>
      <c r="I17" s="4">
        <v>0</v>
      </c>
      <c r="J17" s="19">
        <v>499</v>
      </c>
    </row>
    <row r="18" spans="1:10" x14ac:dyDescent="0.25">
      <c r="A18" s="18" t="s">
        <v>12</v>
      </c>
      <c r="B18" s="4">
        <v>1447</v>
      </c>
      <c r="C18" s="2">
        <v>620</v>
      </c>
      <c r="D18" s="2">
        <v>12</v>
      </c>
      <c r="E18" s="2">
        <v>40</v>
      </c>
      <c r="F18" s="2">
        <v>0</v>
      </c>
      <c r="G18" s="27">
        <v>0</v>
      </c>
      <c r="H18" s="34">
        <v>2119</v>
      </c>
      <c r="I18" s="4">
        <v>22</v>
      </c>
      <c r="J18" s="19">
        <v>2141</v>
      </c>
    </row>
    <row r="19" spans="1:10" x14ac:dyDescent="0.25">
      <c r="A19" s="18" t="s">
        <v>13</v>
      </c>
      <c r="B19" s="4">
        <v>1883</v>
      </c>
      <c r="C19" s="2">
        <v>604</v>
      </c>
      <c r="D19" s="2">
        <v>39</v>
      </c>
      <c r="E19" s="2">
        <v>80</v>
      </c>
      <c r="F19" s="2">
        <v>0</v>
      </c>
      <c r="G19" s="27">
        <v>0</v>
      </c>
      <c r="H19" s="34">
        <v>2606</v>
      </c>
      <c r="I19" s="4">
        <v>53</v>
      </c>
      <c r="J19" s="19">
        <v>2659</v>
      </c>
    </row>
    <row r="20" spans="1:10" x14ac:dyDescent="0.25">
      <c r="A20" s="18" t="s">
        <v>14</v>
      </c>
      <c r="B20" s="4">
        <v>3642</v>
      </c>
      <c r="C20" s="2">
        <v>1510</v>
      </c>
      <c r="D20" s="2">
        <v>39</v>
      </c>
      <c r="E20" s="2">
        <v>120</v>
      </c>
      <c r="F20" s="2">
        <v>0</v>
      </c>
      <c r="G20" s="27">
        <v>0</v>
      </c>
      <c r="H20" s="34">
        <v>5311</v>
      </c>
      <c r="I20" s="4">
        <v>70</v>
      </c>
      <c r="J20" s="19">
        <v>5381</v>
      </c>
    </row>
    <row r="21" spans="1:10" x14ac:dyDescent="0.25">
      <c r="A21" s="18" t="s">
        <v>15</v>
      </c>
      <c r="B21" s="4">
        <v>1116</v>
      </c>
      <c r="C21" s="2">
        <v>430</v>
      </c>
      <c r="D21" s="2">
        <v>0</v>
      </c>
      <c r="E21" s="2">
        <v>24</v>
      </c>
      <c r="F21" s="2">
        <v>0</v>
      </c>
      <c r="G21" s="27">
        <v>0</v>
      </c>
      <c r="H21" s="34">
        <v>1570</v>
      </c>
      <c r="I21" s="4">
        <v>0</v>
      </c>
      <c r="J21" s="19">
        <v>1570</v>
      </c>
    </row>
    <row r="22" spans="1:10" ht="15.75" thickBot="1" x14ac:dyDescent="0.3">
      <c r="A22" s="20"/>
      <c r="B22" s="7"/>
      <c r="C22" s="8"/>
      <c r="D22" s="8"/>
      <c r="E22" s="8"/>
      <c r="F22" s="8"/>
      <c r="G22" s="28"/>
      <c r="H22" s="35"/>
      <c r="I22" s="7"/>
      <c r="J22" s="21"/>
    </row>
    <row r="23" spans="1:10" ht="24.95" customHeight="1" thickBot="1" x14ac:dyDescent="0.3">
      <c r="A23" s="22" t="s">
        <v>16</v>
      </c>
      <c r="B23" s="37">
        <f>SUM(B7:B22)</f>
        <v>44939</v>
      </c>
      <c r="C23" s="37">
        <f t="shared" ref="C23:J23" si="0">SUM(C7:C22)</f>
        <v>34994</v>
      </c>
      <c r="D23" s="37">
        <f t="shared" si="0"/>
        <v>14489</v>
      </c>
      <c r="E23" s="37">
        <f t="shared" si="0"/>
        <v>4221</v>
      </c>
      <c r="F23" s="37">
        <f t="shared" si="0"/>
        <v>14807</v>
      </c>
      <c r="G23" s="38">
        <f t="shared" si="0"/>
        <v>13914</v>
      </c>
      <c r="H23" s="31">
        <f t="shared" si="0"/>
        <v>127364</v>
      </c>
      <c r="I23" s="37">
        <f t="shared" si="0"/>
        <v>1286</v>
      </c>
      <c r="J23" s="48">
        <f t="shared" si="0"/>
        <v>128650</v>
      </c>
    </row>
    <row r="24" spans="1:10" x14ac:dyDescent="0.25">
      <c r="A24" s="18" t="s">
        <v>17</v>
      </c>
      <c r="B24" s="5">
        <v>2097</v>
      </c>
      <c r="C24" s="6">
        <v>1513</v>
      </c>
      <c r="D24" s="6">
        <v>363</v>
      </c>
      <c r="E24" s="6">
        <v>170</v>
      </c>
      <c r="F24" s="6">
        <v>1923</v>
      </c>
      <c r="G24" s="26">
        <v>1014</v>
      </c>
      <c r="H24" s="34">
        <v>7080</v>
      </c>
      <c r="I24" s="5">
        <v>68</v>
      </c>
      <c r="J24" s="23">
        <v>7148</v>
      </c>
    </row>
    <row r="25" spans="1:10" x14ac:dyDescent="0.25">
      <c r="A25" s="18" t="s">
        <v>18</v>
      </c>
      <c r="B25" s="4">
        <v>7645</v>
      </c>
      <c r="C25" s="2">
        <v>5598</v>
      </c>
      <c r="D25" s="2">
        <v>930</v>
      </c>
      <c r="E25" s="2">
        <v>485</v>
      </c>
      <c r="F25" s="2">
        <v>4610</v>
      </c>
      <c r="G25" s="27">
        <v>3114</v>
      </c>
      <c r="H25" s="34">
        <v>22382</v>
      </c>
      <c r="I25" s="4">
        <v>136</v>
      </c>
      <c r="J25" s="23">
        <v>22518</v>
      </c>
    </row>
    <row r="26" spans="1:10" x14ac:dyDescent="0.25">
      <c r="A26" s="18" t="s">
        <v>19</v>
      </c>
      <c r="B26" s="4">
        <v>22457</v>
      </c>
      <c r="C26" s="2">
        <v>15242</v>
      </c>
      <c r="D26" s="2">
        <v>3805</v>
      </c>
      <c r="E26" s="2">
        <v>1146</v>
      </c>
      <c r="F26" s="2">
        <v>15340</v>
      </c>
      <c r="G26" s="27">
        <v>8661</v>
      </c>
      <c r="H26" s="34">
        <v>66651</v>
      </c>
      <c r="I26" s="4">
        <v>692</v>
      </c>
      <c r="J26" s="23">
        <v>67343</v>
      </c>
    </row>
    <row r="27" spans="1:10" x14ac:dyDescent="0.25">
      <c r="A27" s="18" t="s">
        <v>20</v>
      </c>
      <c r="B27" s="4">
        <v>40169</v>
      </c>
      <c r="C27" s="2">
        <v>20253</v>
      </c>
      <c r="D27" s="2">
        <v>11249</v>
      </c>
      <c r="E27" s="2">
        <v>1874</v>
      </c>
      <c r="F27" s="2">
        <v>19061</v>
      </c>
      <c r="G27" s="27">
        <v>12497</v>
      </c>
      <c r="H27" s="34">
        <v>105103</v>
      </c>
      <c r="I27" s="4">
        <v>1284</v>
      </c>
      <c r="J27" s="23">
        <v>106387</v>
      </c>
    </row>
    <row r="28" spans="1:10" x14ac:dyDescent="0.25">
      <c r="A28" s="18" t="s">
        <v>21</v>
      </c>
      <c r="B28" s="4">
        <v>65373</v>
      </c>
      <c r="C28" s="2">
        <v>26984</v>
      </c>
      <c r="D28" s="2">
        <v>14891</v>
      </c>
      <c r="E28" s="2">
        <v>5168</v>
      </c>
      <c r="F28" s="2">
        <v>18962</v>
      </c>
      <c r="G28" s="27">
        <v>9459</v>
      </c>
      <c r="H28" s="34">
        <v>140837</v>
      </c>
      <c r="I28" s="4">
        <v>1772</v>
      </c>
      <c r="J28" s="23">
        <v>142609</v>
      </c>
    </row>
    <row r="29" spans="1:10" x14ac:dyDescent="0.25">
      <c r="A29" s="18" t="s">
        <v>22</v>
      </c>
      <c r="B29" s="4">
        <v>94109</v>
      </c>
      <c r="C29" s="2">
        <v>59765</v>
      </c>
      <c r="D29" s="2">
        <v>8834</v>
      </c>
      <c r="E29" s="2">
        <v>7397</v>
      </c>
      <c r="F29" s="2">
        <v>15494</v>
      </c>
      <c r="G29" s="27">
        <v>15141</v>
      </c>
      <c r="H29" s="34">
        <v>200740</v>
      </c>
      <c r="I29" s="4">
        <v>2309</v>
      </c>
      <c r="J29" s="23">
        <v>203049</v>
      </c>
    </row>
    <row r="30" spans="1:10" x14ac:dyDescent="0.25">
      <c r="A30" s="18" t="s">
        <v>23</v>
      </c>
      <c r="B30" s="4">
        <v>39337</v>
      </c>
      <c r="C30" s="2">
        <v>17638</v>
      </c>
      <c r="D30" s="2">
        <v>5178</v>
      </c>
      <c r="E30" s="2">
        <v>13890</v>
      </c>
      <c r="F30" s="2">
        <v>13588</v>
      </c>
      <c r="G30" s="27">
        <v>3964</v>
      </c>
      <c r="H30" s="34">
        <v>93595</v>
      </c>
      <c r="I30" s="4">
        <v>359</v>
      </c>
      <c r="J30" s="23">
        <v>93954</v>
      </c>
    </row>
    <row r="31" spans="1:10" x14ac:dyDescent="0.25">
      <c r="A31" s="18" t="s">
        <v>24</v>
      </c>
      <c r="B31" s="4">
        <v>19729</v>
      </c>
      <c r="C31" s="2">
        <v>6942</v>
      </c>
      <c r="D31" s="2">
        <v>1485</v>
      </c>
      <c r="E31" s="2">
        <v>3713</v>
      </c>
      <c r="F31" s="2">
        <v>524</v>
      </c>
      <c r="G31" s="27">
        <v>1171</v>
      </c>
      <c r="H31" s="34">
        <v>33564</v>
      </c>
      <c r="I31" s="4">
        <v>1</v>
      </c>
      <c r="J31" s="23">
        <v>33565</v>
      </c>
    </row>
    <row r="32" spans="1:10" x14ac:dyDescent="0.25">
      <c r="A32" s="18" t="s">
        <v>25</v>
      </c>
      <c r="B32" s="2">
        <v>19920</v>
      </c>
      <c r="C32" s="2">
        <v>8702</v>
      </c>
      <c r="D32" s="2">
        <v>858</v>
      </c>
      <c r="E32" s="2">
        <v>1844</v>
      </c>
      <c r="F32" s="2">
        <v>872</v>
      </c>
      <c r="G32" s="27">
        <v>1338</v>
      </c>
      <c r="H32" s="34">
        <v>33534</v>
      </c>
      <c r="I32" s="4">
        <v>0</v>
      </c>
      <c r="J32" s="23">
        <v>33534</v>
      </c>
    </row>
    <row r="33" spans="1:10" x14ac:dyDescent="0.25">
      <c r="A33" s="18" t="s">
        <v>52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7">
        <v>1</v>
      </c>
      <c r="H33" s="44">
        <v>2</v>
      </c>
      <c r="I33" s="4">
        <v>0</v>
      </c>
      <c r="J33" s="45">
        <v>2</v>
      </c>
    </row>
    <row r="34" spans="1:10" s="3" customFormat="1" ht="15.75" thickBot="1" x14ac:dyDescent="0.3">
      <c r="A34" s="18"/>
      <c r="B34" s="9"/>
      <c r="C34" s="10"/>
      <c r="D34" s="10"/>
      <c r="E34" s="10"/>
      <c r="F34" s="10"/>
      <c r="G34" s="29"/>
      <c r="H34" s="36"/>
      <c r="I34" s="9"/>
      <c r="J34" s="24"/>
    </row>
    <row r="35" spans="1:10" s="3" customFormat="1" ht="24.95" customHeight="1" thickBot="1" x14ac:dyDescent="0.3">
      <c r="A35" s="22" t="s">
        <v>26</v>
      </c>
      <c r="B35" s="37">
        <f>SUM(B24:B33)</f>
        <v>310836</v>
      </c>
      <c r="C35" s="37">
        <f t="shared" ref="C35:J35" si="1">SUM(C24:C33)</f>
        <v>162637</v>
      </c>
      <c r="D35" s="37">
        <f t="shared" si="1"/>
        <v>47593</v>
      </c>
      <c r="E35" s="37">
        <f t="shared" si="1"/>
        <v>35687</v>
      </c>
      <c r="F35" s="37">
        <f t="shared" si="1"/>
        <v>90375</v>
      </c>
      <c r="G35" s="38">
        <f t="shared" si="1"/>
        <v>56360</v>
      </c>
      <c r="H35" s="46">
        <f>SUM(H24:H33)</f>
        <v>703488</v>
      </c>
      <c r="I35" s="37">
        <f t="shared" si="1"/>
        <v>6621</v>
      </c>
      <c r="J35" s="47">
        <f t="shared" si="1"/>
        <v>710109</v>
      </c>
    </row>
    <row r="36" spans="1:10" ht="30" customHeight="1" thickTop="1" thickBot="1" x14ac:dyDescent="0.3">
      <c r="A36" s="11" t="s">
        <v>27</v>
      </c>
      <c r="B36" s="40">
        <f t="shared" ref="B36:J36" si="2">SUM(B23,B35)</f>
        <v>355775</v>
      </c>
      <c r="C36" s="40">
        <f t="shared" si="2"/>
        <v>197631</v>
      </c>
      <c r="D36" s="40">
        <f t="shared" si="2"/>
        <v>62082</v>
      </c>
      <c r="E36" s="40">
        <f t="shared" si="2"/>
        <v>39908</v>
      </c>
      <c r="F36" s="40">
        <f t="shared" si="2"/>
        <v>105182</v>
      </c>
      <c r="G36" s="41">
        <f t="shared" si="2"/>
        <v>70274</v>
      </c>
      <c r="H36" s="32">
        <f t="shared" si="2"/>
        <v>830852</v>
      </c>
      <c r="I36" s="40">
        <f t="shared" si="2"/>
        <v>7907</v>
      </c>
      <c r="J36" s="42">
        <f t="shared" si="2"/>
        <v>838759</v>
      </c>
    </row>
    <row r="37" spans="1:10" ht="33" customHeight="1" thickTop="1" x14ac:dyDescent="0.25">
      <c r="B37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J40"/>
  <sheetViews>
    <sheetView topLeftCell="A7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47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5</v>
      </c>
      <c r="I8" s="4">
        <v>0</v>
      </c>
      <c r="J8" s="19">
        <v>5</v>
      </c>
    </row>
    <row r="9" spans="1:10" x14ac:dyDescent="0.25">
      <c r="A9" s="18" t="s">
        <v>3</v>
      </c>
      <c r="B9" s="4">
        <v>65</v>
      </c>
      <c r="C9" s="2">
        <v>37</v>
      </c>
      <c r="D9" s="2">
        <v>15</v>
      </c>
      <c r="E9" s="2">
        <v>5</v>
      </c>
      <c r="F9" s="2">
        <v>32</v>
      </c>
      <c r="G9" s="27">
        <v>27</v>
      </c>
      <c r="H9" s="34">
        <v>181</v>
      </c>
      <c r="I9" s="4">
        <v>0</v>
      </c>
      <c r="J9" s="19">
        <v>181</v>
      </c>
    </row>
    <row r="10" spans="1:10" x14ac:dyDescent="0.25">
      <c r="A10" s="18" t="s">
        <v>4</v>
      </c>
      <c r="B10" s="4">
        <v>152</v>
      </c>
      <c r="C10" s="2">
        <v>71</v>
      </c>
      <c r="D10" s="2">
        <v>33</v>
      </c>
      <c r="E10" s="2">
        <v>7</v>
      </c>
      <c r="F10" s="2">
        <v>114</v>
      </c>
      <c r="G10" s="27">
        <v>58</v>
      </c>
      <c r="H10" s="34">
        <v>435</v>
      </c>
      <c r="I10" s="4">
        <v>1</v>
      </c>
      <c r="J10" s="19">
        <v>436</v>
      </c>
    </row>
    <row r="11" spans="1:10" x14ac:dyDescent="0.25">
      <c r="A11" s="18" t="s">
        <v>5</v>
      </c>
      <c r="B11" s="4">
        <v>1527</v>
      </c>
      <c r="C11" s="2">
        <v>1844</v>
      </c>
      <c r="D11" s="2">
        <v>1191</v>
      </c>
      <c r="E11" s="2">
        <v>332</v>
      </c>
      <c r="F11" s="2">
        <v>1027</v>
      </c>
      <c r="G11" s="27">
        <v>1117</v>
      </c>
      <c r="H11" s="34">
        <v>7038</v>
      </c>
      <c r="I11" s="4">
        <v>42</v>
      </c>
      <c r="J11" s="19">
        <v>7080</v>
      </c>
    </row>
    <row r="12" spans="1:10" x14ac:dyDescent="0.25">
      <c r="A12" s="18" t="s">
        <v>6</v>
      </c>
      <c r="B12" s="4">
        <v>3702</v>
      </c>
      <c r="C12" s="2">
        <v>5630</v>
      </c>
      <c r="D12" s="2">
        <v>3012</v>
      </c>
      <c r="E12" s="2">
        <v>887</v>
      </c>
      <c r="F12" s="2">
        <v>4014</v>
      </c>
      <c r="G12" s="27">
        <v>4260</v>
      </c>
      <c r="H12" s="34">
        <v>21505</v>
      </c>
      <c r="I12" s="4">
        <v>187</v>
      </c>
      <c r="J12" s="19">
        <v>21692</v>
      </c>
    </row>
    <row r="13" spans="1:10" x14ac:dyDescent="0.25">
      <c r="A13" s="18" t="s">
        <v>7</v>
      </c>
      <c r="B13" s="4">
        <v>6710</v>
      </c>
      <c r="C13" s="2">
        <v>6678</v>
      </c>
      <c r="D13" s="2">
        <v>4438</v>
      </c>
      <c r="E13" s="2">
        <v>1065</v>
      </c>
      <c r="F13" s="2">
        <v>4083</v>
      </c>
      <c r="G13" s="27">
        <v>4646</v>
      </c>
      <c r="H13" s="34">
        <v>27620</v>
      </c>
      <c r="I13" s="4">
        <v>302</v>
      </c>
      <c r="J13" s="19">
        <v>27922</v>
      </c>
    </row>
    <row r="14" spans="1:10" x14ac:dyDescent="0.25">
      <c r="A14" s="18" t="s">
        <v>8</v>
      </c>
      <c r="B14" s="4">
        <v>10357</v>
      </c>
      <c r="C14" s="2">
        <v>10339</v>
      </c>
      <c r="D14" s="2">
        <v>3581</v>
      </c>
      <c r="E14" s="2">
        <v>1089</v>
      </c>
      <c r="F14" s="2">
        <v>3249</v>
      </c>
      <c r="G14" s="27">
        <v>2945</v>
      </c>
      <c r="H14" s="34">
        <v>31560</v>
      </c>
      <c r="I14" s="4">
        <v>455</v>
      </c>
      <c r="J14" s="19">
        <v>32015</v>
      </c>
    </row>
    <row r="15" spans="1:10" x14ac:dyDescent="0.25">
      <c r="A15" s="18" t="s">
        <v>9</v>
      </c>
      <c r="B15" s="4">
        <v>7989</v>
      </c>
      <c r="C15" s="2">
        <v>4668</v>
      </c>
      <c r="D15" s="2">
        <v>1081</v>
      </c>
      <c r="E15" s="2">
        <v>255</v>
      </c>
      <c r="F15" s="2">
        <v>1171</v>
      </c>
      <c r="G15" s="27">
        <v>525</v>
      </c>
      <c r="H15" s="34">
        <v>15689</v>
      </c>
      <c r="I15" s="4">
        <v>81</v>
      </c>
      <c r="J15" s="19">
        <v>15770</v>
      </c>
    </row>
    <row r="16" spans="1:10" x14ac:dyDescent="0.25">
      <c r="A16" s="18" t="s">
        <v>10</v>
      </c>
      <c r="B16" s="4">
        <v>5818</v>
      </c>
      <c r="C16" s="2">
        <v>2550</v>
      </c>
      <c r="D16" s="2">
        <v>619</v>
      </c>
      <c r="E16" s="2">
        <v>287</v>
      </c>
      <c r="F16" s="2">
        <v>1128</v>
      </c>
      <c r="G16" s="27">
        <v>340</v>
      </c>
      <c r="H16" s="34">
        <v>10742</v>
      </c>
      <c r="I16" s="4">
        <v>73</v>
      </c>
      <c r="J16" s="19">
        <v>10815</v>
      </c>
    </row>
    <row r="17" spans="1:10" x14ac:dyDescent="0.25">
      <c r="A17" s="18" t="s">
        <v>11</v>
      </c>
      <c r="B17" s="4">
        <v>391</v>
      </c>
      <c r="C17" s="2">
        <v>90</v>
      </c>
      <c r="D17" s="2">
        <v>2</v>
      </c>
      <c r="E17" s="2">
        <v>14</v>
      </c>
      <c r="F17" s="2">
        <v>0</v>
      </c>
      <c r="G17" s="27">
        <v>0</v>
      </c>
      <c r="H17" s="34">
        <v>497</v>
      </c>
      <c r="I17" s="4">
        <v>0</v>
      </c>
      <c r="J17" s="19">
        <v>497</v>
      </c>
    </row>
    <row r="18" spans="1:10" x14ac:dyDescent="0.25">
      <c r="A18" s="18" t="s">
        <v>12</v>
      </c>
      <c r="B18" s="4">
        <v>1459</v>
      </c>
      <c r="C18" s="2">
        <v>617</v>
      </c>
      <c r="D18" s="2">
        <v>12</v>
      </c>
      <c r="E18" s="2">
        <v>40</v>
      </c>
      <c r="F18" s="2">
        <v>0</v>
      </c>
      <c r="G18" s="27">
        <v>0</v>
      </c>
      <c r="H18" s="34">
        <v>2128</v>
      </c>
      <c r="I18" s="4">
        <v>22</v>
      </c>
      <c r="J18" s="19">
        <v>2150</v>
      </c>
    </row>
    <row r="19" spans="1:10" x14ac:dyDescent="0.25">
      <c r="A19" s="18" t="s">
        <v>13</v>
      </c>
      <c r="B19" s="4">
        <v>1908</v>
      </c>
      <c r="C19" s="2">
        <v>618</v>
      </c>
      <c r="D19" s="2">
        <v>39</v>
      </c>
      <c r="E19" s="2">
        <v>73</v>
      </c>
      <c r="F19" s="2">
        <v>0</v>
      </c>
      <c r="G19" s="27">
        <v>0</v>
      </c>
      <c r="H19" s="34">
        <v>2638</v>
      </c>
      <c r="I19" s="4">
        <v>54</v>
      </c>
      <c r="J19" s="19">
        <v>2692</v>
      </c>
    </row>
    <row r="20" spans="1:10" x14ac:dyDescent="0.25">
      <c r="A20" s="18" t="s">
        <v>14</v>
      </c>
      <c r="B20" s="4">
        <v>3591</v>
      </c>
      <c r="C20" s="2">
        <v>1521</v>
      </c>
      <c r="D20" s="2">
        <v>39</v>
      </c>
      <c r="E20" s="2">
        <v>117</v>
      </c>
      <c r="F20" s="2">
        <v>0</v>
      </c>
      <c r="G20" s="27">
        <v>0</v>
      </c>
      <c r="H20" s="34">
        <v>5268</v>
      </c>
      <c r="I20" s="4">
        <v>70</v>
      </c>
      <c r="J20" s="19">
        <v>5338</v>
      </c>
    </row>
    <row r="21" spans="1:10" x14ac:dyDescent="0.25">
      <c r="A21" s="18" t="s">
        <v>15</v>
      </c>
      <c r="B21" s="4">
        <v>1144</v>
      </c>
      <c r="C21" s="2">
        <v>420</v>
      </c>
      <c r="D21" s="2">
        <v>0</v>
      </c>
      <c r="E21" s="2">
        <v>24</v>
      </c>
      <c r="F21" s="2">
        <v>0</v>
      </c>
      <c r="G21" s="27">
        <v>0</v>
      </c>
      <c r="H21" s="34">
        <v>1588</v>
      </c>
      <c r="I21" s="4">
        <v>0</v>
      </c>
      <c r="J21" s="19">
        <v>1588</v>
      </c>
    </row>
    <row r="22" spans="1:10" ht="15.75" thickBot="1" x14ac:dyDescent="0.3">
      <c r="A22" s="20"/>
      <c r="B22" s="7"/>
      <c r="C22" s="8"/>
      <c r="D22" s="8"/>
      <c r="E22" s="8"/>
      <c r="F22" s="8"/>
      <c r="G22" s="28"/>
      <c r="H22" s="35"/>
      <c r="I22" s="7"/>
      <c r="J22" s="21"/>
    </row>
    <row r="23" spans="1:10" ht="24.95" customHeight="1" thickBot="1" x14ac:dyDescent="0.3">
      <c r="A23" s="22" t="s">
        <v>16</v>
      </c>
      <c r="B23" s="37">
        <f>SUM(B7:B22)</f>
        <v>44815</v>
      </c>
      <c r="C23" s="37">
        <f t="shared" ref="C23:J23" si="0">SUM(C7:C22)</f>
        <v>35083</v>
      </c>
      <c r="D23" s="37">
        <f t="shared" si="0"/>
        <v>14062</v>
      </c>
      <c r="E23" s="37">
        <f t="shared" si="0"/>
        <v>4195</v>
      </c>
      <c r="F23" s="37">
        <f t="shared" si="0"/>
        <v>14822</v>
      </c>
      <c r="G23" s="38">
        <f t="shared" si="0"/>
        <v>13918</v>
      </c>
      <c r="H23" s="31">
        <f>SUM(H7:H22)</f>
        <v>126895</v>
      </c>
      <c r="I23" s="37">
        <f t="shared" si="0"/>
        <v>1287</v>
      </c>
      <c r="J23" s="39">
        <f t="shared" si="0"/>
        <v>128182</v>
      </c>
    </row>
    <row r="24" spans="1:10" x14ac:dyDescent="0.25">
      <c r="A24" s="18" t="s">
        <v>17</v>
      </c>
      <c r="B24" s="5">
        <v>2100</v>
      </c>
      <c r="C24" s="6">
        <v>1501</v>
      </c>
      <c r="D24" s="6">
        <v>367</v>
      </c>
      <c r="E24" s="6">
        <v>169</v>
      </c>
      <c r="F24" s="6">
        <v>1910</v>
      </c>
      <c r="G24" s="26">
        <v>1017</v>
      </c>
      <c r="H24" s="34">
        <v>7064</v>
      </c>
      <c r="I24" s="5">
        <v>71</v>
      </c>
      <c r="J24" s="23">
        <v>7135</v>
      </c>
    </row>
    <row r="25" spans="1:10" x14ac:dyDescent="0.25">
      <c r="A25" s="18" t="s">
        <v>18</v>
      </c>
      <c r="B25" s="4">
        <v>7624</v>
      </c>
      <c r="C25" s="2">
        <v>5665</v>
      </c>
      <c r="D25" s="2">
        <v>936</v>
      </c>
      <c r="E25" s="2">
        <v>489</v>
      </c>
      <c r="F25" s="2">
        <v>4566</v>
      </c>
      <c r="G25" s="27">
        <v>3103</v>
      </c>
      <c r="H25" s="34">
        <v>22383</v>
      </c>
      <c r="I25" s="4">
        <v>132</v>
      </c>
      <c r="J25" s="23">
        <v>22515</v>
      </c>
    </row>
    <row r="26" spans="1:10" x14ac:dyDescent="0.25">
      <c r="A26" s="18" t="s">
        <v>19</v>
      </c>
      <c r="B26" s="4">
        <v>22387</v>
      </c>
      <c r="C26" s="2">
        <v>14998</v>
      </c>
      <c r="D26" s="2">
        <v>3806</v>
      </c>
      <c r="E26" s="2">
        <v>1143</v>
      </c>
      <c r="F26" s="2">
        <v>15264</v>
      </c>
      <c r="G26" s="27">
        <v>8612</v>
      </c>
      <c r="H26" s="34">
        <v>66210</v>
      </c>
      <c r="I26" s="4">
        <v>689</v>
      </c>
      <c r="J26" s="23">
        <v>66899</v>
      </c>
    </row>
    <row r="27" spans="1:10" x14ac:dyDescent="0.25">
      <c r="A27" s="18" t="s">
        <v>20</v>
      </c>
      <c r="B27" s="4">
        <v>40192</v>
      </c>
      <c r="C27" s="2">
        <v>20333</v>
      </c>
      <c r="D27" s="2">
        <v>11362</v>
      </c>
      <c r="E27" s="2">
        <v>1884</v>
      </c>
      <c r="F27" s="2">
        <v>18954</v>
      </c>
      <c r="G27" s="27">
        <v>12457</v>
      </c>
      <c r="H27" s="34">
        <v>105182</v>
      </c>
      <c r="I27" s="4">
        <v>1290</v>
      </c>
      <c r="J27" s="23">
        <v>106472</v>
      </c>
    </row>
    <row r="28" spans="1:10" x14ac:dyDescent="0.25">
      <c r="A28" s="18" t="s">
        <v>21</v>
      </c>
      <c r="B28" s="4">
        <v>65439</v>
      </c>
      <c r="C28" s="2">
        <v>27045</v>
      </c>
      <c r="D28" s="2">
        <v>14777</v>
      </c>
      <c r="E28" s="2">
        <v>5027</v>
      </c>
      <c r="F28" s="2">
        <v>18739</v>
      </c>
      <c r="G28" s="27">
        <v>9418</v>
      </c>
      <c r="H28" s="34">
        <v>140445</v>
      </c>
      <c r="I28" s="4">
        <v>1762</v>
      </c>
      <c r="J28" s="23">
        <v>142207</v>
      </c>
    </row>
    <row r="29" spans="1:10" x14ac:dyDescent="0.25">
      <c r="A29" s="18" t="s">
        <v>22</v>
      </c>
      <c r="B29" s="4">
        <v>93791</v>
      </c>
      <c r="C29" s="2">
        <v>59435</v>
      </c>
      <c r="D29" s="2">
        <v>8823</v>
      </c>
      <c r="E29" s="2">
        <v>7366</v>
      </c>
      <c r="F29" s="2">
        <v>15515</v>
      </c>
      <c r="G29" s="27">
        <v>15233</v>
      </c>
      <c r="H29" s="34">
        <v>200163</v>
      </c>
      <c r="I29" s="4">
        <v>2309</v>
      </c>
      <c r="J29" s="23">
        <v>202472</v>
      </c>
    </row>
    <row r="30" spans="1:10" x14ac:dyDescent="0.25">
      <c r="A30" s="18" t="s">
        <v>23</v>
      </c>
      <c r="B30" s="4">
        <v>39029</v>
      </c>
      <c r="C30" s="2">
        <v>17512</v>
      </c>
      <c r="D30" s="2">
        <v>4987</v>
      </c>
      <c r="E30" s="2">
        <v>14144</v>
      </c>
      <c r="F30" s="2">
        <v>13641</v>
      </c>
      <c r="G30" s="27">
        <v>3881</v>
      </c>
      <c r="H30" s="34">
        <v>93194</v>
      </c>
      <c r="I30" s="4">
        <v>328</v>
      </c>
      <c r="J30" s="23">
        <v>93522</v>
      </c>
    </row>
    <row r="31" spans="1:10" x14ac:dyDescent="0.25">
      <c r="A31" s="18" t="s">
        <v>24</v>
      </c>
      <c r="B31" s="4">
        <v>20170</v>
      </c>
      <c r="C31" s="2">
        <v>7310</v>
      </c>
      <c r="D31" s="2">
        <v>1454</v>
      </c>
      <c r="E31" s="2">
        <v>3756</v>
      </c>
      <c r="F31" s="2">
        <v>532</v>
      </c>
      <c r="G31" s="27">
        <v>1179</v>
      </c>
      <c r="H31" s="34">
        <v>34401</v>
      </c>
      <c r="I31" s="4">
        <v>8</v>
      </c>
      <c r="J31" s="23">
        <v>34409</v>
      </c>
    </row>
    <row r="32" spans="1:10" x14ac:dyDescent="0.25">
      <c r="A32" s="18" t="s">
        <v>25</v>
      </c>
      <c r="B32" s="2">
        <v>20118</v>
      </c>
      <c r="C32" s="2">
        <v>8282</v>
      </c>
      <c r="D32" s="2">
        <v>858</v>
      </c>
      <c r="E32" s="2">
        <v>1605</v>
      </c>
      <c r="F32" s="2">
        <v>896</v>
      </c>
      <c r="G32" s="27">
        <v>1290</v>
      </c>
      <c r="H32" s="34">
        <v>33049</v>
      </c>
      <c r="I32" s="4">
        <v>0</v>
      </c>
      <c r="J32" s="23">
        <v>33049</v>
      </c>
    </row>
    <row r="33" spans="1:10" x14ac:dyDescent="0.25">
      <c r="A33" s="18" t="s">
        <v>52</v>
      </c>
      <c r="B33" s="2">
        <v>1</v>
      </c>
      <c r="C33" s="2">
        <v>0</v>
      </c>
      <c r="D33" s="2">
        <v>0</v>
      </c>
      <c r="E33" s="2">
        <v>0</v>
      </c>
      <c r="F33" s="2">
        <v>1</v>
      </c>
      <c r="G33" s="27">
        <v>1</v>
      </c>
      <c r="H33" s="44">
        <v>3</v>
      </c>
      <c r="I33" s="4">
        <v>0</v>
      </c>
      <c r="J33" s="45">
        <v>3</v>
      </c>
    </row>
    <row r="34" spans="1:10" s="3" customFormat="1" ht="15.75" thickBot="1" x14ac:dyDescent="0.3">
      <c r="A34" s="18"/>
      <c r="B34" s="9"/>
      <c r="C34" s="10"/>
      <c r="D34" s="10"/>
      <c r="E34" s="10"/>
      <c r="F34" s="10"/>
      <c r="G34" s="29"/>
      <c r="H34" s="36"/>
      <c r="I34" s="9"/>
      <c r="J34" s="24"/>
    </row>
    <row r="35" spans="1:10" s="3" customFormat="1" ht="24.95" customHeight="1" thickBot="1" x14ac:dyDescent="0.3">
      <c r="A35" s="22" t="s">
        <v>26</v>
      </c>
      <c r="B35" s="37">
        <f>SUM(B24:B33)</f>
        <v>310851</v>
      </c>
      <c r="C35" s="37">
        <f t="shared" ref="C35:J35" si="1">SUM(C24:C33)</f>
        <v>162081</v>
      </c>
      <c r="D35" s="37">
        <f t="shared" si="1"/>
        <v>47370</v>
      </c>
      <c r="E35" s="37">
        <f t="shared" si="1"/>
        <v>35583</v>
      </c>
      <c r="F35" s="37">
        <f t="shared" si="1"/>
        <v>90018</v>
      </c>
      <c r="G35" s="38">
        <f t="shared" si="1"/>
        <v>56191</v>
      </c>
      <c r="H35" s="46">
        <f>SUM(H24:H33)</f>
        <v>702094</v>
      </c>
      <c r="I35" s="37">
        <f t="shared" si="1"/>
        <v>6589</v>
      </c>
      <c r="J35" s="47">
        <f t="shared" si="1"/>
        <v>708683</v>
      </c>
    </row>
    <row r="36" spans="1:10" ht="30" customHeight="1" thickTop="1" thickBot="1" x14ac:dyDescent="0.3">
      <c r="A36" s="11" t="s">
        <v>27</v>
      </c>
      <c r="B36" s="40">
        <f t="shared" ref="B36:J36" si="2">SUM(B23,B35)</f>
        <v>355666</v>
      </c>
      <c r="C36" s="40">
        <f t="shared" si="2"/>
        <v>197164</v>
      </c>
      <c r="D36" s="40">
        <f t="shared" si="2"/>
        <v>61432</v>
      </c>
      <c r="E36" s="40">
        <f t="shared" si="2"/>
        <v>39778</v>
      </c>
      <c r="F36" s="40">
        <f t="shared" si="2"/>
        <v>104840</v>
      </c>
      <c r="G36" s="41">
        <f t="shared" si="2"/>
        <v>70109</v>
      </c>
      <c r="H36" s="32">
        <f t="shared" si="2"/>
        <v>828989</v>
      </c>
      <c r="I36" s="40">
        <f t="shared" si="2"/>
        <v>7876</v>
      </c>
      <c r="J36" s="42">
        <f t="shared" si="2"/>
        <v>836865</v>
      </c>
    </row>
    <row r="37" spans="1:10" ht="33" customHeight="1" thickTop="1" x14ac:dyDescent="0.25">
      <c r="B37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J40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48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5</v>
      </c>
      <c r="I8" s="4">
        <v>0</v>
      </c>
      <c r="J8" s="19">
        <v>5</v>
      </c>
    </row>
    <row r="9" spans="1:10" x14ac:dyDescent="0.25">
      <c r="A9" s="18" t="s">
        <v>3</v>
      </c>
      <c r="B9" s="4">
        <v>65</v>
      </c>
      <c r="C9" s="2">
        <v>37</v>
      </c>
      <c r="D9" s="2">
        <v>15</v>
      </c>
      <c r="E9" s="2">
        <v>5</v>
      </c>
      <c r="F9" s="2">
        <v>32</v>
      </c>
      <c r="G9" s="27">
        <v>27</v>
      </c>
      <c r="H9" s="34">
        <v>181</v>
      </c>
      <c r="I9" s="4">
        <v>0</v>
      </c>
      <c r="J9" s="19">
        <v>181</v>
      </c>
    </row>
    <row r="10" spans="1:10" x14ac:dyDescent="0.25">
      <c r="A10" s="18" t="s">
        <v>4</v>
      </c>
      <c r="B10" s="4">
        <v>157</v>
      </c>
      <c r="C10" s="2">
        <v>71</v>
      </c>
      <c r="D10" s="2">
        <v>32</v>
      </c>
      <c r="E10" s="2">
        <v>7</v>
      </c>
      <c r="F10" s="2">
        <v>113</v>
      </c>
      <c r="G10" s="27">
        <v>58</v>
      </c>
      <c r="H10" s="34">
        <v>438</v>
      </c>
      <c r="I10" s="4">
        <v>1</v>
      </c>
      <c r="J10" s="19">
        <v>439</v>
      </c>
    </row>
    <row r="11" spans="1:10" x14ac:dyDescent="0.25">
      <c r="A11" s="18" t="s">
        <v>5</v>
      </c>
      <c r="B11" s="4">
        <v>1509</v>
      </c>
      <c r="C11" s="2">
        <v>1874</v>
      </c>
      <c r="D11" s="2">
        <v>1230</v>
      </c>
      <c r="E11" s="2">
        <v>328</v>
      </c>
      <c r="F11" s="2">
        <v>1026</v>
      </c>
      <c r="G11" s="27">
        <v>1091</v>
      </c>
      <c r="H11" s="34">
        <v>7058</v>
      </c>
      <c r="I11" s="4">
        <v>41</v>
      </c>
      <c r="J11" s="19">
        <v>7099</v>
      </c>
    </row>
    <row r="12" spans="1:10" x14ac:dyDescent="0.25">
      <c r="A12" s="18" t="s">
        <v>6</v>
      </c>
      <c r="B12" s="4">
        <v>3710</v>
      </c>
      <c r="C12" s="2">
        <v>5598</v>
      </c>
      <c r="D12" s="2">
        <v>3056</v>
      </c>
      <c r="E12" s="2">
        <v>870</v>
      </c>
      <c r="F12" s="2">
        <v>3979</v>
      </c>
      <c r="G12" s="27">
        <v>4258</v>
      </c>
      <c r="H12" s="34">
        <v>21471</v>
      </c>
      <c r="I12" s="4">
        <v>187</v>
      </c>
      <c r="J12" s="19">
        <v>21658</v>
      </c>
    </row>
    <row r="13" spans="1:10" x14ac:dyDescent="0.25">
      <c r="A13" s="18" t="s">
        <v>7</v>
      </c>
      <c r="B13" s="4">
        <v>6704</v>
      </c>
      <c r="C13" s="2">
        <v>6697</v>
      </c>
      <c r="D13" s="2">
        <v>4469</v>
      </c>
      <c r="E13" s="2">
        <v>1058</v>
      </c>
      <c r="F13" s="2">
        <v>4084</v>
      </c>
      <c r="G13" s="27">
        <v>4651</v>
      </c>
      <c r="H13" s="34">
        <v>27663</v>
      </c>
      <c r="I13" s="4">
        <v>301</v>
      </c>
      <c r="J13" s="19">
        <v>27964</v>
      </c>
    </row>
    <row r="14" spans="1:10" x14ac:dyDescent="0.25">
      <c r="A14" s="18" t="s">
        <v>8</v>
      </c>
      <c r="B14" s="4">
        <v>10295</v>
      </c>
      <c r="C14" s="2">
        <v>10236</v>
      </c>
      <c r="D14" s="2">
        <v>3630</v>
      </c>
      <c r="E14" s="2">
        <v>1118</v>
      </c>
      <c r="F14" s="2">
        <v>3236</v>
      </c>
      <c r="G14" s="27">
        <v>2940</v>
      </c>
      <c r="H14" s="34">
        <v>31455</v>
      </c>
      <c r="I14" s="4">
        <v>465</v>
      </c>
      <c r="J14" s="19">
        <v>31920</v>
      </c>
    </row>
    <row r="15" spans="1:10" x14ac:dyDescent="0.25">
      <c r="A15" s="18" t="s">
        <v>9</v>
      </c>
      <c r="B15" s="4">
        <v>7887</v>
      </c>
      <c r="C15" s="2">
        <v>4796</v>
      </c>
      <c r="D15" s="2">
        <v>1074</v>
      </c>
      <c r="E15" s="2">
        <v>231</v>
      </c>
      <c r="F15" s="2">
        <v>1196</v>
      </c>
      <c r="G15" s="27">
        <v>525</v>
      </c>
      <c r="H15" s="34">
        <v>15709</v>
      </c>
      <c r="I15" s="4">
        <v>113</v>
      </c>
      <c r="J15" s="19">
        <v>15822</v>
      </c>
    </row>
    <row r="16" spans="1:10" x14ac:dyDescent="0.25">
      <c r="A16" s="18" t="s">
        <v>10</v>
      </c>
      <c r="B16" s="4">
        <v>5875</v>
      </c>
      <c r="C16" s="2">
        <v>2538</v>
      </c>
      <c r="D16" s="2">
        <v>605</v>
      </c>
      <c r="E16" s="2">
        <v>290</v>
      </c>
      <c r="F16" s="2">
        <v>1148</v>
      </c>
      <c r="G16" s="27">
        <v>344</v>
      </c>
      <c r="H16" s="34">
        <v>10800</v>
      </c>
      <c r="I16" s="4">
        <v>29</v>
      </c>
      <c r="J16" s="19">
        <v>10829</v>
      </c>
    </row>
    <row r="17" spans="1:10" x14ac:dyDescent="0.25">
      <c r="A17" s="18" t="s">
        <v>11</v>
      </c>
      <c r="B17" s="4">
        <v>0</v>
      </c>
      <c r="C17" s="2">
        <v>0</v>
      </c>
      <c r="D17" s="2">
        <v>0</v>
      </c>
      <c r="E17" s="2">
        <v>0</v>
      </c>
      <c r="F17" s="2">
        <v>0</v>
      </c>
      <c r="G17" s="27">
        <v>1</v>
      </c>
      <c r="H17" s="34">
        <v>1</v>
      </c>
      <c r="I17" s="4">
        <v>0</v>
      </c>
      <c r="J17" s="19">
        <v>1</v>
      </c>
    </row>
    <row r="18" spans="1:10" x14ac:dyDescent="0.25">
      <c r="A18" s="18" t="s">
        <v>12</v>
      </c>
      <c r="B18" s="4">
        <v>387</v>
      </c>
      <c r="C18" s="2">
        <v>89</v>
      </c>
      <c r="D18" s="2">
        <v>2</v>
      </c>
      <c r="E18" s="2">
        <v>13</v>
      </c>
      <c r="F18" s="2">
        <v>0</v>
      </c>
      <c r="G18" s="27">
        <v>0</v>
      </c>
      <c r="H18" s="34">
        <v>491</v>
      </c>
      <c r="I18" s="4">
        <v>0</v>
      </c>
      <c r="J18" s="19">
        <v>491</v>
      </c>
    </row>
    <row r="19" spans="1:10" x14ac:dyDescent="0.25">
      <c r="A19" s="18" t="s">
        <v>13</v>
      </c>
      <c r="B19" s="4">
        <v>1458</v>
      </c>
      <c r="C19" s="2">
        <v>617</v>
      </c>
      <c r="D19" s="2">
        <v>12</v>
      </c>
      <c r="E19" s="2">
        <v>41</v>
      </c>
      <c r="F19" s="2">
        <v>0</v>
      </c>
      <c r="G19" s="27">
        <v>0</v>
      </c>
      <c r="H19" s="34">
        <v>2128</v>
      </c>
      <c r="I19" s="4">
        <v>21</v>
      </c>
      <c r="J19" s="19">
        <v>2149</v>
      </c>
    </row>
    <row r="20" spans="1:10" x14ac:dyDescent="0.25">
      <c r="A20" s="18" t="s">
        <v>14</v>
      </c>
      <c r="B20" s="4">
        <v>1922</v>
      </c>
      <c r="C20" s="2">
        <v>611</v>
      </c>
      <c r="D20" s="2">
        <v>39</v>
      </c>
      <c r="E20" s="2">
        <v>74</v>
      </c>
      <c r="F20" s="2">
        <v>0</v>
      </c>
      <c r="G20" s="27">
        <v>0</v>
      </c>
      <c r="H20" s="34">
        <v>2646</v>
      </c>
      <c r="I20" s="4">
        <v>51</v>
      </c>
      <c r="J20" s="19">
        <v>2697</v>
      </c>
    </row>
    <row r="21" spans="1:10" x14ac:dyDescent="0.25">
      <c r="A21" s="18" t="s">
        <v>15</v>
      </c>
      <c r="B21" s="4">
        <v>3570</v>
      </c>
      <c r="C21" s="2">
        <v>1527</v>
      </c>
      <c r="D21" s="2">
        <v>43</v>
      </c>
      <c r="E21" s="2">
        <v>115</v>
      </c>
      <c r="F21" s="2">
        <v>0</v>
      </c>
      <c r="G21" s="27">
        <v>0</v>
      </c>
      <c r="H21" s="34">
        <v>5255</v>
      </c>
      <c r="I21" s="4">
        <v>70</v>
      </c>
      <c r="J21" s="19">
        <v>5325</v>
      </c>
    </row>
    <row r="22" spans="1:10" ht="15.75" thickBot="1" x14ac:dyDescent="0.3">
      <c r="A22" s="20"/>
      <c r="B22" s="7">
        <v>1129</v>
      </c>
      <c r="C22" s="8">
        <v>413</v>
      </c>
      <c r="D22" s="8">
        <v>0</v>
      </c>
      <c r="E22" s="8">
        <v>24</v>
      </c>
      <c r="F22" s="8">
        <v>0</v>
      </c>
      <c r="G22" s="28">
        <v>0</v>
      </c>
      <c r="H22" s="35">
        <v>1566</v>
      </c>
      <c r="I22" s="7">
        <v>0</v>
      </c>
      <c r="J22" s="21">
        <v>1566</v>
      </c>
    </row>
    <row r="23" spans="1:10" ht="24.95" customHeight="1" thickBot="1" x14ac:dyDescent="0.3">
      <c r="A23" s="22" t="s">
        <v>16</v>
      </c>
      <c r="B23" s="37">
        <v>44670</v>
      </c>
      <c r="C23" s="37">
        <v>35104</v>
      </c>
      <c r="D23" s="37">
        <v>14207</v>
      </c>
      <c r="E23" s="37">
        <v>4174</v>
      </c>
      <c r="F23" s="37">
        <v>14818</v>
      </c>
      <c r="G23" s="38">
        <v>13895</v>
      </c>
      <c r="H23" s="31">
        <v>126868</v>
      </c>
      <c r="I23" s="37">
        <v>1279</v>
      </c>
      <c r="J23" s="48">
        <v>128147</v>
      </c>
    </row>
    <row r="24" spans="1:10" x14ac:dyDescent="0.25">
      <c r="A24" s="18" t="s">
        <v>17</v>
      </c>
      <c r="B24" s="5">
        <v>2108</v>
      </c>
      <c r="C24" s="6">
        <v>1490</v>
      </c>
      <c r="D24" s="6">
        <v>359</v>
      </c>
      <c r="E24" s="6">
        <v>168</v>
      </c>
      <c r="F24" s="6">
        <v>1905</v>
      </c>
      <c r="G24" s="26">
        <v>1005</v>
      </c>
      <c r="H24" s="34">
        <v>7035</v>
      </c>
      <c r="I24" s="5">
        <v>73</v>
      </c>
      <c r="J24" s="23">
        <v>7108</v>
      </c>
    </row>
    <row r="25" spans="1:10" x14ac:dyDescent="0.25">
      <c r="A25" s="18" t="s">
        <v>18</v>
      </c>
      <c r="B25" s="4">
        <v>7634</v>
      </c>
      <c r="C25" s="2">
        <v>5622</v>
      </c>
      <c r="D25" s="2">
        <v>941</v>
      </c>
      <c r="E25" s="2">
        <v>490</v>
      </c>
      <c r="F25" s="2">
        <v>4544</v>
      </c>
      <c r="G25" s="27">
        <v>3104</v>
      </c>
      <c r="H25" s="34">
        <v>22335</v>
      </c>
      <c r="I25" s="4">
        <v>133</v>
      </c>
      <c r="J25" s="23">
        <v>22468</v>
      </c>
    </row>
    <row r="26" spans="1:10" x14ac:dyDescent="0.25">
      <c r="A26" s="18" t="s">
        <v>19</v>
      </c>
      <c r="B26" s="4">
        <v>22317</v>
      </c>
      <c r="C26" s="2">
        <v>15610</v>
      </c>
      <c r="D26" s="2">
        <v>3790</v>
      </c>
      <c r="E26" s="2">
        <v>1122</v>
      </c>
      <c r="F26" s="2">
        <v>15213</v>
      </c>
      <c r="G26" s="27">
        <v>8609</v>
      </c>
      <c r="H26" s="34">
        <v>66661</v>
      </c>
      <c r="I26" s="4">
        <v>696</v>
      </c>
      <c r="J26" s="23">
        <v>67357</v>
      </c>
    </row>
    <row r="27" spans="1:10" x14ac:dyDescent="0.25">
      <c r="A27" s="18" t="s">
        <v>20</v>
      </c>
      <c r="B27" s="4">
        <v>40269</v>
      </c>
      <c r="C27" s="2">
        <v>19673</v>
      </c>
      <c r="D27" s="2">
        <v>11328</v>
      </c>
      <c r="E27" s="2">
        <v>1841</v>
      </c>
      <c r="F27" s="2">
        <v>18959</v>
      </c>
      <c r="G27" s="27">
        <v>12393</v>
      </c>
      <c r="H27" s="34">
        <v>104463</v>
      </c>
      <c r="I27" s="4">
        <v>1294</v>
      </c>
      <c r="J27" s="23">
        <v>105757</v>
      </c>
    </row>
    <row r="28" spans="1:10" x14ac:dyDescent="0.25">
      <c r="A28" s="18" t="s">
        <v>21</v>
      </c>
      <c r="B28" s="4">
        <v>65390</v>
      </c>
      <c r="C28" s="2">
        <v>26921</v>
      </c>
      <c r="D28" s="2">
        <v>14692</v>
      </c>
      <c r="E28" s="2">
        <v>5099</v>
      </c>
      <c r="F28" s="2">
        <v>18722</v>
      </c>
      <c r="G28" s="27">
        <v>9353</v>
      </c>
      <c r="H28" s="34">
        <v>140177</v>
      </c>
      <c r="I28" s="4">
        <v>1786</v>
      </c>
      <c r="J28" s="23">
        <v>141963</v>
      </c>
    </row>
    <row r="29" spans="1:10" x14ac:dyDescent="0.25">
      <c r="A29" s="18" t="s">
        <v>22</v>
      </c>
      <c r="B29" s="4">
        <v>93644</v>
      </c>
      <c r="C29" s="2">
        <v>59132</v>
      </c>
      <c r="D29" s="2">
        <v>8736</v>
      </c>
      <c r="E29" s="2">
        <v>7493</v>
      </c>
      <c r="F29" s="2">
        <v>15558</v>
      </c>
      <c r="G29" s="27">
        <v>15351</v>
      </c>
      <c r="H29" s="34">
        <v>199914</v>
      </c>
      <c r="I29" s="4">
        <v>2262</v>
      </c>
      <c r="J29" s="23">
        <v>202176</v>
      </c>
    </row>
    <row r="30" spans="1:10" x14ac:dyDescent="0.25">
      <c r="A30" s="18" t="s">
        <v>23</v>
      </c>
      <c r="B30" s="4">
        <v>38760</v>
      </c>
      <c r="C30" s="2">
        <v>17281</v>
      </c>
      <c r="D30" s="2">
        <v>5081</v>
      </c>
      <c r="E30" s="2">
        <v>13879</v>
      </c>
      <c r="F30" s="2">
        <v>13676</v>
      </c>
      <c r="G30" s="27">
        <v>3791</v>
      </c>
      <c r="H30" s="34">
        <v>92468</v>
      </c>
      <c r="I30" s="4">
        <v>335</v>
      </c>
      <c r="J30" s="23">
        <v>92803</v>
      </c>
    </row>
    <row r="31" spans="1:10" x14ac:dyDescent="0.25">
      <c r="A31" s="18" t="s">
        <v>24</v>
      </c>
      <c r="B31" s="4">
        <v>20504</v>
      </c>
      <c r="C31" s="2">
        <v>7495</v>
      </c>
      <c r="D31" s="2">
        <v>1455</v>
      </c>
      <c r="E31" s="2">
        <v>4013</v>
      </c>
      <c r="F31" s="2">
        <v>526</v>
      </c>
      <c r="G31" s="27">
        <v>1222</v>
      </c>
      <c r="H31" s="34">
        <v>35215</v>
      </c>
      <c r="I31" s="4">
        <v>1</v>
      </c>
      <c r="J31" s="23">
        <v>35216</v>
      </c>
    </row>
    <row r="32" spans="1:10" x14ac:dyDescent="0.25">
      <c r="A32" s="18" t="s">
        <v>25</v>
      </c>
      <c r="B32" s="2">
        <v>20099</v>
      </c>
      <c r="C32" s="2">
        <v>8218</v>
      </c>
      <c r="D32" s="2">
        <v>910</v>
      </c>
      <c r="E32" s="2">
        <v>1299</v>
      </c>
      <c r="F32" s="2">
        <v>902</v>
      </c>
      <c r="G32" s="27">
        <v>1239</v>
      </c>
      <c r="H32" s="34">
        <v>32667</v>
      </c>
      <c r="I32" s="4">
        <v>0</v>
      </c>
      <c r="J32" s="23">
        <v>32667</v>
      </c>
    </row>
    <row r="33" spans="1:10" x14ac:dyDescent="0.25">
      <c r="A33" s="18" t="s">
        <v>52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7">
        <v>2</v>
      </c>
      <c r="H33" s="44">
        <v>2</v>
      </c>
      <c r="I33" s="4">
        <v>0</v>
      </c>
      <c r="J33" s="45">
        <v>2</v>
      </c>
    </row>
    <row r="34" spans="1:10" s="3" customFormat="1" ht="15.75" thickBot="1" x14ac:dyDescent="0.3">
      <c r="A34" s="18"/>
      <c r="B34" s="9"/>
      <c r="C34" s="10"/>
      <c r="D34" s="10"/>
      <c r="E34" s="10"/>
      <c r="F34" s="10"/>
      <c r="G34" s="29"/>
      <c r="H34" s="36"/>
      <c r="I34" s="9"/>
      <c r="J34" s="24"/>
    </row>
    <row r="35" spans="1:10" s="3" customFormat="1" ht="24.95" customHeight="1" thickBot="1" x14ac:dyDescent="0.3">
      <c r="A35" s="22" t="s">
        <v>26</v>
      </c>
      <c r="B35" s="37">
        <v>310725</v>
      </c>
      <c r="C35" s="37">
        <v>161442</v>
      </c>
      <c r="D35" s="37">
        <v>47292</v>
      </c>
      <c r="E35" s="37">
        <v>35404</v>
      </c>
      <c r="F35" s="37">
        <v>90005</v>
      </c>
      <c r="G35" s="38">
        <v>56069</v>
      </c>
      <c r="H35" s="46">
        <v>700937</v>
      </c>
      <c r="I35" s="37">
        <v>6580</v>
      </c>
      <c r="J35" s="47">
        <v>707517</v>
      </c>
    </row>
    <row r="36" spans="1:10" ht="30" customHeight="1" thickTop="1" thickBot="1" x14ac:dyDescent="0.3">
      <c r="A36" s="11" t="s">
        <v>27</v>
      </c>
      <c r="B36" s="40">
        <f t="shared" ref="B36:J36" si="0">SUM(B23,B35)</f>
        <v>355395</v>
      </c>
      <c r="C36" s="40">
        <f t="shared" si="0"/>
        <v>196546</v>
      </c>
      <c r="D36" s="40">
        <f t="shared" si="0"/>
        <v>61499</v>
      </c>
      <c r="E36" s="40">
        <f t="shared" si="0"/>
        <v>39578</v>
      </c>
      <c r="F36" s="40">
        <f t="shared" si="0"/>
        <v>104823</v>
      </c>
      <c r="G36" s="41">
        <f t="shared" si="0"/>
        <v>69964</v>
      </c>
      <c r="H36" s="32">
        <f t="shared" si="0"/>
        <v>827805</v>
      </c>
      <c r="I36" s="40">
        <f t="shared" si="0"/>
        <v>7859</v>
      </c>
      <c r="J36" s="42">
        <f t="shared" si="0"/>
        <v>835664</v>
      </c>
    </row>
    <row r="37" spans="1:10" ht="33" customHeight="1" thickTop="1" x14ac:dyDescent="0.25">
      <c r="B37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J39"/>
  <sheetViews>
    <sheetView topLeftCell="A7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49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5</v>
      </c>
      <c r="I8" s="4">
        <v>0</v>
      </c>
      <c r="J8" s="19">
        <v>5</v>
      </c>
    </row>
    <row r="9" spans="1:10" x14ac:dyDescent="0.25">
      <c r="A9" s="18" t="s">
        <v>3</v>
      </c>
      <c r="B9" s="4">
        <v>66</v>
      </c>
      <c r="C9" s="2">
        <v>37</v>
      </c>
      <c r="D9" s="2">
        <v>15</v>
      </c>
      <c r="E9" s="2">
        <v>5</v>
      </c>
      <c r="F9" s="2">
        <v>36</v>
      </c>
      <c r="G9" s="27">
        <v>27</v>
      </c>
      <c r="H9" s="34">
        <v>186</v>
      </c>
      <c r="I9" s="4">
        <v>0</v>
      </c>
      <c r="J9" s="19">
        <v>186</v>
      </c>
    </row>
    <row r="10" spans="1:10" x14ac:dyDescent="0.25">
      <c r="A10" s="18" t="s">
        <v>4</v>
      </c>
      <c r="B10" s="4">
        <v>155</v>
      </c>
      <c r="C10" s="2">
        <v>76</v>
      </c>
      <c r="D10" s="2">
        <v>31</v>
      </c>
      <c r="E10" s="2">
        <v>7</v>
      </c>
      <c r="F10" s="2">
        <v>111</v>
      </c>
      <c r="G10" s="27">
        <v>58</v>
      </c>
      <c r="H10" s="34">
        <v>438</v>
      </c>
      <c r="I10" s="4">
        <v>1</v>
      </c>
      <c r="J10" s="19">
        <v>439</v>
      </c>
    </row>
    <row r="11" spans="1:10" x14ac:dyDescent="0.25">
      <c r="A11" s="18" t="s">
        <v>5</v>
      </c>
      <c r="B11" s="4">
        <v>1503</v>
      </c>
      <c r="C11" s="2">
        <v>1875</v>
      </c>
      <c r="D11" s="2">
        <v>1237</v>
      </c>
      <c r="E11" s="2">
        <v>332</v>
      </c>
      <c r="F11" s="2">
        <v>1018</v>
      </c>
      <c r="G11" s="27">
        <v>1080</v>
      </c>
      <c r="H11" s="34">
        <v>7045</v>
      </c>
      <c r="I11" s="4">
        <v>41</v>
      </c>
      <c r="J11" s="19">
        <v>7086</v>
      </c>
    </row>
    <row r="12" spans="1:10" x14ac:dyDescent="0.25">
      <c r="A12" s="18" t="s">
        <v>6</v>
      </c>
      <c r="B12" s="4">
        <v>3704</v>
      </c>
      <c r="C12" s="2">
        <v>5555</v>
      </c>
      <c r="D12" s="2">
        <v>3076</v>
      </c>
      <c r="E12" s="2">
        <v>863</v>
      </c>
      <c r="F12" s="2">
        <v>3990</v>
      </c>
      <c r="G12" s="27">
        <v>4222</v>
      </c>
      <c r="H12" s="34">
        <v>21410</v>
      </c>
      <c r="I12" s="4">
        <v>188</v>
      </c>
      <c r="J12" s="19">
        <v>21598</v>
      </c>
    </row>
    <row r="13" spans="1:10" x14ac:dyDescent="0.25">
      <c r="A13" s="18" t="s">
        <v>7</v>
      </c>
      <c r="B13" s="4">
        <v>6701</v>
      </c>
      <c r="C13" s="2">
        <v>6695</v>
      </c>
      <c r="D13" s="2">
        <v>4476</v>
      </c>
      <c r="E13" s="2">
        <v>1051</v>
      </c>
      <c r="F13" s="2">
        <v>4092</v>
      </c>
      <c r="G13" s="27">
        <v>4657</v>
      </c>
      <c r="H13" s="34">
        <v>27672</v>
      </c>
      <c r="I13" s="4">
        <v>299</v>
      </c>
      <c r="J13" s="19">
        <v>27971</v>
      </c>
    </row>
    <row r="14" spans="1:10" x14ac:dyDescent="0.25">
      <c r="A14" s="18" t="s">
        <v>8</v>
      </c>
      <c r="B14" s="4">
        <v>10271</v>
      </c>
      <c r="C14" s="2">
        <v>10188</v>
      </c>
      <c r="D14" s="2">
        <v>3726</v>
      </c>
      <c r="E14" s="2">
        <v>1133</v>
      </c>
      <c r="F14" s="2">
        <v>3306</v>
      </c>
      <c r="G14" s="27">
        <v>2960</v>
      </c>
      <c r="H14" s="34">
        <v>31584</v>
      </c>
      <c r="I14" s="4">
        <v>464</v>
      </c>
      <c r="J14" s="19">
        <v>32048</v>
      </c>
    </row>
    <row r="15" spans="1:10" x14ac:dyDescent="0.25">
      <c r="A15" s="18" t="s">
        <v>9</v>
      </c>
      <c r="B15" s="4">
        <v>8051</v>
      </c>
      <c r="C15" s="2">
        <v>4964</v>
      </c>
      <c r="D15" s="2">
        <v>1064</v>
      </c>
      <c r="E15" s="2">
        <v>226</v>
      </c>
      <c r="F15" s="2">
        <v>1099</v>
      </c>
      <c r="G15" s="27">
        <v>540</v>
      </c>
      <c r="H15" s="34">
        <v>15944</v>
      </c>
      <c r="I15" s="4">
        <v>112</v>
      </c>
      <c r="J15" s="19">
        <v>16056</v>
      </c>
    </row>
    <row r="16" spans="1:10" x14ac:dyDescent="0.25">
      <c r="A16" s="18" t="s">
        <v>10</v>
      </c>
      <c r="B16" s="4">
        <v>5728</v>
      </c>
      <c r="C16" s="2">
        <v>2471</v>
      </c>
      <c r="D16" s="2">
        <v>592</v>
      </c>
      <c r="E16" s="2">
        <v>287</v>
      </c>
      <c r="F16" s="2">
        <v>1168</v>
      </c>
      <c r="G16" s="27">
        <v>338</v>
      </c>
      <c r="H16" s="34">
        <v>10584</v>
      </c>
      <c r="I16" s="4">
        <v>29</v>
      </c>
      <c r="J16" s="19">
        <v>10613</v>
      </c>
    </row>
    <row r="17" spans="1:10" x14ac:dyDescent="0.25">
      <c r="A17" s="18" t="s">
        <v>11</v>
      </c>
      <c r="B17" s="4">
        <v>0</v>
      </c>
      <c r="C17" s="2">
        <v>0</v>
      </c>
      <c r="D17" s="2">
        <v>0</v>
      </c>
      <c r="E17" s="2">
        <v>0</v>
      </c>
      <c r="F17" s="2">
        <v>1</v>
      </c>
      <c r="G17" s="27">
        <v>0</v>
      </c>
      <c r="H17" s="34">
        <v>1</v>
      </c>
      <c r="I17" s="4">
        <v>0</v>
      </c>
      <c r="J17" s="19">
        <v>1</v>
      </c>
    </row>
    <row r="18" spans="1:10" x14ac:dyDescent="0.25">
      <c r="A18" s="18" t="s">
        <v>12</v>
      </c>
      <c r="B18" s="4">
        <v>374</v>
      </c>
      <c r="C18" s="2">
        <v>86</v>
      </c>
      <c r="D18" s="2">
        <v>2</v>
      </c>
      <c r="E18" s="2">
        <v>13</v>
      </c>
      <c r="F18" s="2">
        <v>0</v>
      </c>
      <c r="G18" s="27">
        <v>0</v>
      </c>
      <c r="H18" s="34">
        <v>475</v>
      </c>
      <c r="I18" s="4">
        <v>0</v>
      </c>
      <c r="J18" s="19">
        <v>475</v>
      </c>
    </row>
    <row r="19" spans="1:10" x14ac:dyDescent="0.25">
      <c r="A19" s="18" t="s">
        <v>13</v>
      </c>
      <c r="B19" s="4">
        <v>1452</v>
      </c>
      <c r="C19" s="2">
        <v>615</v>
      </c>
      <c r="D19" s="2">
        <v>12</v>
      </c>
      <c r="E19" s="2">
        <v>40</v>
      </c>
      <c r="F19" s="2">
        <v>0</v>
      </c>
      <c r="G19" s="27">
        <v>0</v>
      </c>
      <c r="H19" s="34">
        <v>2119</v>
      </c>
      <c r="I19" s="4">
        <v>21</v>
      </c>
      <c r="J19" s="19">
        <v>2140</v>
      </c>
    </row>
    <row r="20" spans="1:10" x14ac:dyDescent="0.25">
      <c r="A20" s="18" t="s">
        <v>14</v>
      </c>
      <c r="B20" s="4">
        <v>1919</v>
      </c>
      <c r="C20" s="2">
        <v>613</v>
      </c>
      <c r="D20" s="2">
        <v>39</v>
      </c>
      <c r="E20" s="2">
        <v>73</v>
      </c>
      <c r="F20" s="2">
        <v>0</v>
      </c>
      <c r="G20" s="27">
        <v>0</v>
      </c>
      <c r="H20" s="34">
        <v>2644</v>
      </c>
      <c r="I20" s="4">
        <v>50</v>
      </c>
      <c r="J20" s="19">
        <v>2694</v>
      </c>
    </row>
    <row r="21" spans="1:10" x14ac:dyDescent="0.25">
      <c r="A21" s="18" t="s">
        <v>15</v>
      </c>
      <c r="B21" s="4">
        <v>3561</v>
      </c>
      <c r="C21" s="2">
        <v>1540</v>
      </c>
      <c r="D21" s="2">
        <v>43</v>
      </c>
      <c r="E21" s="2">
        <v>112</v>
      </c>
      <c r="F21" s="2">
        <v>0</v>
      </c>
      <c r="G21" s="27">
        <v>0</v>
      </c>
      <c r="H21" s="34">
        <v>5256</v>
      </c>
      <c r="I21" s="4">
        <v>72</v>
      </c>
      <c r="J21" s="19">
        <v>5328</v>
      </c>
    </row>
    <row r="22" spans="1:10" ht="15.75" thickBot="1" x14ac:dyDescent="0.3">
      <c r="A22" s="20"/>
      <c r="B22" s="7">
        <v>1154</v>
      </c>
      <c r="C22" s="8">
        <v>411</v>
      </c>
      <c r="D22" s="8">
        <v>0</v>
      </c>
      <c r="E22" s="8">
        <v>35</v>
      </c>
      <c r="F22" s="8">
        <v>0</v>
      </c>
      <c r="G22" s="28">
        <v>0</v>
      </c>
      <c r="H22" s="35">
        <v>1600</v>
      </c>
      <c r="I22" s="7">
        <v>0</v>
      </c>
      <c r="J22" s="21">
        <v>1600</v>
      </c>
    </row>
    <row r="23" spans="1:10" ht="24.95" customHeight="1" thickBot="1" x14ac:dyDescent="0.3">
      <c r="A23" s="22" t="s">
        <v>16</v>
      </c>
      <c r="B23" s="37">
        <f>SUM(B7:B22)</f>
        <v>44641</v>
      </c>
      <c r="C23" s="37">
        <f t="shared" ref="C23:J23" si="0">SUM(C7:C22)</f>
        <v>35126</v>
      </c>
      <c r="D23" s="37">
        <f t="shared" si="0"/>
        <v>14313</v>
      </c>
      <c r="E23" s="37">
        <f t="shared" si="0"/>
        <v>4177</v>
      </c>
      <c r="F23" s="37">
        <f t="shared" si="0"/>
        <v>14825</v>
      </c>
      <c r="G23" s="38">
        <f t="shared" si="0"/>
        <v>13882</v>
      </c>
      <c r="H23" s="31">
        <f t="shared" si="0"/>
        <v>126964</v>
      </c>
      <c r="I23" s="37">
        <f t="shared" si="0"/>
        <v>1277</v>
      </c>
      <c r="J23" s="48">
        <f t="shared" si="0"/>
        <v>128241</v>
      </c>
    </row>
    <row r="24" spans="1:10" x14ac:dyDescent="0.25">
      <c r="A24" s="18" t="s">
        <v>17</v>
      </c>
      <c r="B24" s="5">
        <v>2097</v>
      </c>
      <c r="C24" s="6">
        <v>1513</v>
      </c>
      <c r="D24" s="6">
        <v>353</v>
      </c>
      <c r="E24" s="6">
        <v>167</v>
      </c>
      <c r="F24" s="6">
        <v>1904</v>
      </c>
      <c r="G24" s="26">
        <v>999</v>
      </c>
      <c r="H24" s="34">
        <v>7033</v>
      </c>
      <c r="I24" s="5">
        <v>73</v>
      </c>
      <c r="J24" s="23">
        <v>7106</v>
      </c>
    </row>
    <row r="25" spans="1:10" x14ac:dyDescent="0.25">
      <c r="A25" s="18" t="s">
        <v>18</v>
      </c>
      <c r="B25" s="4">
        <v>7657</v>
      </c>
      <c r="C25" s="2">
        <v>5551</v>
      </c>
      <c r="D25" s="2">
        <v>930</v>
      </c>
      <c r="E25" s="2">
        <v>496</v>
      </c>
      <c r="F25" s="2">
        <v>4567</v>
      </c>
      <c r="G25" s="27">
        <v>3099</v>
      </c>
      <c r="H25" s="34">
        <v>22300</v>
      </c>
      <c r="I25" s="4">
        <v>130</v>
      </c>
      <c r="J25" s="23">
        <v>22430</v>
      </c>
    </row>
    <row r="26" spans="1:10" x14ac:dyDescent="0.25">
      <c r="A26" s="18" t="s">
        <v>19</v>
      </c>
      <c r="B26" s="4">
        <v>22289</v>
      </c>
      <c r="C26" s="2">
        <v>15625</v>
      </c>
      <c r="D26" s="2">
        <v>3766</v>
      </c>
      <c r="E26" s="2">
        <v>1105</v>
      </c>
      <c r="F26" s="2">
        <v>15195</v>
      </c>
      <c r="G26" s="27">
        <v>8589</v>
      </c>
      <c r="H26" s="34">
        <v>66569</v>
      </c>
      <c r="I26" s="4">
        <v>703</v>
      </c>
      <c r="J26" s="23">
        <v>67272</v>
      </c>
    </row>
    <row r="27" spans="1:10" x14ac:dyDescent="0.25">
      <c r="A27" s="18" t="s">
        <v>20</v>
      </c>
      <c r="B27" s="4">
        <v>40389</v>
      </c>
      <c r="C27" s="2">
        <v>19741</v>
      </c>
      <c r="D27" s="2">
        <v>11231</v>
      </c>
      <c r="E27" s="2">
        <v>1818</v>
      </c>
      <c r="F27" s="2">
        <v>18915</v>
      </c>
      <c r="G27" s="27">
        <v>12351</v>
      </c>
      <c r="H27" s="34">
        <v>104445</v>
      </c>
      <c r="I27" s="4">
        <v>1296</v>
      </c>
      <c r="J27" s="23">
        <v>105741</v>
      </c>
    </row>
    <row r="28" spans="1:10" x14ac:dyDescent="0.25">
      <c r="A28" s="18" t="s">
        <v>21</v>
      </c>
      <c r="B28" s="4">
        <v>65396</v>
      </c>
      <c r="C28" s="2">
        <v>26883</v>
      </c>
      <c r="D28" s="2">
        <v>14529</v>
      </c>
      <c r="E28" s="2">
        <v>4892</v>
      </c>
      <c r="F28" s="2">
        <v>18593</v>
      </c>
      <c r="G28" s="27">
        <v>9284</v>
      </c>
      <c r="H28" s="34">
        <v>139577</v>
      </c>
      <c r="I28" s="4">
        <v>1789</v>
      </c>
      <c r="J28" s="23">
        <v>141366</v>
      </c>
    </row>
    <row r="29" spans="1:10" x14ac:dyDescent="0.25">
      <c r="A29" s="18" t="s">
        <v>22</v>
      </c>
      <c r="B29" s="4">
        <v>93361</v>
      </c>
      <c r="C29" s="2">
        <v>59131</v>
      </c>
      <c r="D29" s="2">
        <v>8660</v>
      </c>
      <c r="E29" s="2">
        <v>7323</v>
      </c>
      <c r="F29" s="2">
        <v>15629</v>
      </c>
      <c r="G29" s="27">
        <v>15512</v>
      </c>
      <c r="H29" s="34">
        <v>199616</v>
      </c>
      <c r="I29" s="4">
        <v>2259</v>
      </c>
      <c r="J29" s="23">
        <v>201875</v>
      </c>
    </row>
    <row r="30" spans="1:10" x14ac:dyDescent="0.25">
      <c r="A30" s="18" t="s">
        <v>23</v>
      </c>
      <c r="B30" s="4">
        <v>38610</v>
      </c>
      <c r="C30" s="2">
        <v>17099</v>
      </c>
      <c r="D30" s="2">
        <v>5164</v>
      </c>
      <c r="E30" s="2">
        <v>14203</v>
      </c>
      <c r="F30" s="2">
        <v>13580</v>
      </c>
      <c r="G30" s="27">
        <v>3708</v>
      </c>
      <c r="H30" s="34">
        <v>92364</v>
      </c>
      <c r="I30" s="4">
        <v>315</v>
      </c>
      <c r="J30" s="23">
        <v>92679</v>
      </c>
    </row>
    <row r="31" spans="1:10" x14ac:dyDescent="0.25">
      <c r="A31" s="18" t="s">
        <v>24</v>
      </c>
      <c r="B31" s="4">
        <v>20987</v>
      </c>
      <c r="C31" s="2">
        <v>7695</v>
      </c>
      <c r="D31" s="2">
        <v>1447</v>
      </c>
      <c r="E31" s="2">
        <v>4005</v>
      </c>
      <c r="F31" s="2">
        <v>505</v>
      </c>
      <c r="G31" s="27">
        <v>1202</v>
      </c>
      <c r="H31" s="34">
        <v>35841</v>
      </c>
      <c r="I31" s="4">
        <v>1</v>
      </c>
      <c r="J31" s="23">
        <v>35842</v>
      </c>
    </row>
    <row r="32" spans="1:10" x14ac:dyDescent="0.25">
      <c r="A32" s="18" t="s">
        <v>25</v>
      </c>
      <c r="B32" s="2">
        <v>20171</v>
      </c>
      <c r="C32" s="2">
        <v>8449</v>
      </c>
      <c r="D32" s="2">
        <v>908</v>
      </c>
      <c r="E32" s="2">
        <v>1217</v>
      </c>
      <c r="F32" s="2">
        <v>943</v>
      </c>
      <c r="G32" s="27">
        <v>1269</v>
      </c>
      <c r="H32" s="34">
        <v>32957</v>
      </c>
      <c r="I32" s="4">
        <v>0</v>
      </c>
      <c r="J32" s="23">
        <v>32957</v>
      </c>
    </row>
    <row r="33" spans="1:10" s="3" customFormat="1" ht="15.75" thickBot="1" x14ac:dyDescent="0.3">
      <c r="A33" s="18"/>
      <c r="B33" s="9"/>
      <c r="C33" s="10"/>
      <c r="D33" s="10"/>
      <c r="E33" s="10"/>
      <c r="F33" s="10"/>
      <c r="G33" s="29"/>
      <c r="H33" s="36"/>
      <c r="I33" s="9"/>
      <c r="J33" s="24"/>
    </row>
    <row r="34" spans="1:10" s="3" customFormat="1" ht="24.95" customHeight="1" thickBot="1" x14ac:dyDescent="0.3">
      <c r="A34" s="22" t="s">
        <v>26</v>
      </c>
      <c r="B34" s="37">
        <f>SUM(B24:B33)</f>
        <v>310957</v>
      </c>
      <c r="C34" s="37">
        <f>SUM(C24:C33)</f>
        <v>161687</v>
      </c>
      <c r="D34" s="37">
        <f>SUM(D24:D33)</f>
        <v>46988</v>
      </c>
      <c r="E34" s="37">
        <f>SUM(E24:E33)</f>
        <v>35226</v>
      </c>
      <c r="F34" s="37">
        <f>SUM(F24:F33)</f>
        <v>89831</v>
      </c>
      <c r="G34" s="38">
        <f>SUM(G24:G33)</f>
        <v>56013</v>
      </c>
      <c r="H34" s="46">
        <f>SUM(H24:H33)</f>
        <v>700702</v>
      </c>
      <c r="I34" s="37">
        <f>SUM(I24:I33)</f>
        <v>6566</v>
      </c>
      <c r="J34" s="47">
        <f>SUM(J24:J33)</f>
        <v>707268</v>
      </c>
    </row>
    <row r="35" spans="1:10" ht="30" customHeight="1" thickTop="1" thickBot="1" x14ac:dyDescent="0.3">
      <c r="A35" s="11" t="s">
        <v>27</v>
      </c>
      <c r="B35" s="40">
        <f>SUM(B23,B34)</f>
        <v>355598</v>
      </c>
      <c r="C35" s="40">
        <f>SUM(C23,C34)</f>
        <v>196813</v>
      </c>
      <c r="D35" s="40">
        <f>SUM(D23,D34)</f>
        <v>61301</v>
      </c>
      <c r="E35" s="40">
        <f>SUM(E23,E34)</f>
        <v>39403</v>
      </c>
      <c r="F35" s="40">
        <f>SUM(F23,F34)</f>
        <v>104656</v>
      </c>
      <c r="G35" s="41">
        <f>SUM(G23,G34)</f>
        <v>69895</v>
      </c>
      <c r="H35" s="32">
        <f>SUM(H23,H34)</f>
        <v>827666</v>
      </c>
      <c r="I35" s="40">
        <f>SUM(I23,I34)</f>
        <v>7843</v>
      </c>
      <c r="J35" s="42">
        <f>SUM(J23,J34)</f>
        <v>835509</v>
      </c>
    </row>
    <row r="36" spans="1:10" ht="33" customHeight="1" thickTop="1" x14ac:dyDescent="0.25">
      <c r="B36" s="12"/>
    </row>
    <row r="38" spans="1:10" x14ac:dyDescent="0.25">
      <c r="I38" s="3"/>
      <c r="J38" s="3"/>
    </row>
    <row r="39" spans="1:10" x14ac:dyDescent="0.25">
      <c r="I39" s="3"/>
      <c r="J39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39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50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v>4</v>
      </c>
    </row>
    <row r="9" spans="1:10" x14ac:dyDescent="0.25">
      <c r="A9" s="18" t="s">
        <v>3</v>
      </c>
      <c r="B9" s="4">
        <v>65</v>
      </c>
      <c r="C9" s="2">
        <v>36</v>
      </c>
      <c r="D9" s="2">
        <v>15</v>
      </c>
      <c r="E9" s="2">
        <v>7</v>
      </c>
      <c r="F9" s="2">
        <v>39</v>
      </c>
      <c r="G9" s="27">
        <v>27</v>
      </c>
      <c r="H9" s="34">
        <v>189</v>
      </c>
      <c r="I9" s="4">
        <v>0</v>
      </c>
      <c r="J9" s="19">
        <v>189</v>
      </c>
    </row>
    <row r="10" spans="1:10" x14ac:dyDescent="0.25">
      <c r="A10" s="18" t="s">
        <v>4</v>
      </c>
      <c r="B10" s="4">
        <v>155</v>
      </c>
      <c r="C10" s="2">
        <v>76</v>
      </c>
      <c r="D10" s="2">
        <v>31</v>
      </c>
      <c r="E10" s="2">
        <v>5</v>
      </c>
      <c r="F10" s="2">
        <v>110</v>
      </c>
      <c r="G10" s="27">
        <v>58</v>
      </c>
      <c r="H10" s="34">
        <v>435</v>
      </c>
      <c r="I10" s="4">
        <v>1</v>
      </c>
      <c r="J10" s="19">
        <v>436</v>
      </c>
    </row>
    <row r="11" spans="1:10" x14ac:dyDescent="0.25">
      <c r="A11" s="18" t="s">
        <v>5</v>
      </c>
      <c r="B11" s="4">
        <v>1523</v>
      </c>
      <c r="C11" s="2">
        <v>1894</v>
      </c>
      <c r="D11" s="2">
        <v>1235</v>
      </c>
      <c r="E11" s="2">
        <v>334</v>
      </c>
      <c r="F11" s="2">
        <v>1020</v>
      </c>
      <c r="G11" s="27">
        <v>1088</v>
      </c>
      <c r="H11" s="34">
        <v>7094</v>
      </c>
      <c r="I11" s="4">
        <v>41</v>
      </c>
      <c r="J11" s="19">
        <v>7135</v>
      </c>
    </row>
    <row r="12" spans="1:10" x14ac:dyDescent="0.25">
      <c r="A12" s="18" t="s">
        <v>6</v>
      </c>
      <c r="B12" s="4">
        <v>3689</v>
      </c>
      <c r="C12" s="2">
        <v>5525</v>
      </c>
      <c r="D12" s="2">
        <v>3086</v>
      </c>
      <c r="E12" s="2">
        <v>861</v>
      </c>
      <c r="F12" s="2">
        <v>4029</v>
      </c>
      <c r="G12" s="27">
        <v>4214</v>
      </c>
      <c r="H12" s="34">
        <v>21404</v>
      </c>
      <c r="I12" s="4">
        <v>189</v>
      </c>
      <c r="J12" s="19">
        <v>21593</v>
      </c>
    </row>
    <row r="13" spans="1:10" x14ac:dyDescent="0.25">
      <c r="A13" s="18" t="s">
        <v>7</v>
      </c>
      <c r="B13" s="4">
        <v>6674</v>
      </c>
      <c r="C13" s="2">
        <v>6719</v>
      </c>
      <c r="D13" s="2">
        <v>4475</v>
      </c>
      <c r="E13" s="2">
        <v>1052</v>
      </c>
      <c r="F13" s="2">
        <v>4096</v>
      </c>
      <c r="G13" s="27">
        <v>4606</v>
      </c>
      <c r="H13" s="34">
        <v>27622</v>
      </c>
      <c r="I13" s="4">
        <v>296</v>
      </c>
      <c r="J13" s="19">
        <v>27918</v>
      </c>
    </row>
    <row r="14" spans="1:10" x14ac:dyDescent="0.25">
      <c r="A14" s="18" t="s">
        <v>8</v>
      </c>
      <c r="B14" s="4">
        <v>10232</v>
      </c>
      <c r="C14" s="2">
        <v>10351</v>
      </c>
      <c r="D14" s="2">
        <v>3800</v>
      </c>
      <c r="E14" s="2">
        <v>1140</v>
      </c>
      <c r="F14" s="2">
        <v>3248</v>
      </c>
      <c r="G14" s="27">
        <v>2980</v>
      </c>
      <c r="H14" s="34">
        <v>31751</v>
      </c>
      <c r="I14" s="4">
        <v>461</v>
      </c>
      <c r="J14" s="19">
        <v>32212</v>
      </c>
    </row>
    <row r="15" spans="1:10" x14ac:dyDescent="0.25">
      <c r="A15" s="18" t="s">
        <v>9</v>
      </c>
      <c r="B15" s="4">
        <v>8011</v>
      </c>
      <c r="C15" s="2">
        <v>4904</v>
      </c>
      <c r="D15" s="2">
        <v>1021</v>
      </c>
      <c r="E15" s="2">
        <v>223</v>
      </c>
      <c r="F15" s="2">
        <v>1173</v>
      </c>
      <c r="G15" s="27">
        <v>539</v>
      </c>
      <c r="H15" s="34">
        <v>15871</v>
      </c>
      <c r="I15" s="4">
        <v>111</v>
      </c>
      <c r="J15" s="19">
        <v>15982</v>
      </c>
    </row>
    <row r="16" spans="1:10" x14ac:dyDescent="0.25">
      <c r="A16" s="18" t="s">
        <v>10</v>
      </c>
      <c r="B16" s="4">
        <v>5787</v>
      </c>
      <c r="C16" s="2">
        <v>2393</v>
      </c>
      <c r="D16" s="2">
        <v>615</v>
      </c>
      <c r="E16" s="2">
        <v>322</v>
      </c>
      <c r="F16" s="2">
        <v>1156</v>
      </c>
      <c r="G16" s="27">
        <v>338</v>
      </c>
      <c r="H16" s="34">
        <v>10611</v>
      </c>
      <c r="I16" s="4">
        <v>29</v>
      </c>
      <c r="J16" s="19">
        <v>10640</v>
      </c>
    </row>
    <row r="17" spans="1:10" x14ac:dyDescent="0.25">
      <c r="A17" s="18" t="s">
        <v>11</v>
      </c>
      <c r="B17" s="4">
        <v>0</v>
      </c>
      <c r="C17" s="2">
        <v>0</v>
      </c>
      <c r="D17" s="2">
        <v>0</v>
      </c>
      <c r="E17" s="2">
        <v>0</v>
      </c>
      <c r="F17" s="2">
        <v>0</v>
      </c>
      <c r="G17" s="27">
        <v>1</v>
      </c>
      <c r="H17" s="34">
        <v>1</v>
      </c>
      <c r="I17" s="4">
        <v>0</v>
      </c>
      <c r="J17" s="19">
        <v>1</v>
      </c>
    </row>
    <row r="18" spans="1:10" x14ac:dyDescent="0.25">
      <c r="A18" s="18" t="s">
        <v>12</v>
      </c>
      <c r="B18" s="4">
        <v>377</v>
      </c>
      <c r="C18" s="2">
        <v>90</v>
      </c>
      <c r="D18" s="2">
        <v>2</v>
      </c>
      <c r="E18" s="2">
        <v>13</v>
      </c>
      <c r="F18" s="2">
        <v>0</v>
      </c>
      <c r="G18" s="27">
        <v>0</v>
      </c>
      <c r="H18" s="34">
        <v>482</v>
      </c>
      <c r="I18" s="4">
        <v>0</v>
      </c>
      <c r="J18" s="19">
        <v>482</v>
      </c>
    </row>
    <row r="19" spans="1:10" x14ac:dyDescent="0.25">
      <c r="A19" s="18" t="s">
        <v>13</v>
      </c>
      <c r="B19" s="4">
        <v>1479</v>
      </c>
      <c r="C19" s="2">
        <v>609</v>
      </c>
      <c r="D19" s="2">
        <v>11</v>
      </c>
      <c r="E19" s="2">
        <v>41</v>
      </c>
      <c r="F19" s="2">
        <v>0</v>
      </c>
      <c r="G19" s="27">
        <v>0</v>
      </c>
      <c r="H19" s="34">
        <v>2140</v>
      </c>
      <c r="I19" s="4">
        <v>20</v>
      </c>
      <c r="J19" s="19">
        <v>2160</v>
      </c>
    </row>
    <row r="20" spans="1:10" x14ac:dyDescent="0.25">
      <c r="A20" s="18" t="s">
        <v>14</v>
      </c>
      <c r="B20" s="4">
        <v>1948</v>
      </c>
      <c r="C20" s="2">
        <v>636</v>
      </c>
      <c r="D20" s="2">
        <v>39</v>
      </c>
      <c r="E20" s="2">
        <v>72</v>
      </c>
      <c r="F20" s="2">
        <v>0</v>
      </c>
      <c r="G20" s="27">
        <v>0</v>
      </c>
      <c r="H20" s="34">
        <v>2695</v>
      </c>
      <c r="I20" s="4">
        <v>52</v>
      </c>
      <c r="J20" s="19">
        <v>2747</v>
      </c>
    </row>
    <row r="21" spans="1:10" x14ac:dyDescent="0.25">
      <c r="A21" s="18" t="s">
        <v>15</v>
      </c>
      <c r="B21" s="4">
        <v>3497</v>
      </c>
      <c r="C21" s="2">
        <v>1529</v>
      </c>
      <c r="D21" s="2">
        <v>43</v>
      </c>
      <c r="E21" s="2">
        <v>110</v>
      </c>
      <c r="F21" s="2">
        <v>0</v>
      </c>
      <c r="G21" s="27">
        <v>0</v>
      </c>
      <c r="H21" s="34">
        <v>5179</v>
      </c>
      <c r="I21" s="4">
        <v>70</v>
      </c>
      <c r="J21" s="19">
        <v>5249</v>
      </c>
    </row>
    <row r="22" spans="1:10" ht="15.75" thickBot="1" x14ac:dyDescent="0.3">
      <c r="A22" s="20"/>
      <c r="B22" s="7">
        <v>1167</v>
      </c>
      <c r="C22" s="8">
        <v>394</v>
      </c>
      <c r="D22" s="8">
        <v>0</v>
      </c>
      <c r="E22" s="8">
        <v>37</v>
      </c>
      <c r="F22" s="8">
        <v>0</v>
      </c>
      <c r="G22" s="28">
        <v>0</v>
      </c>
      <c r="H22" s="35">
        <v>1598</v>
      </c>
      <c r="I22" s="7">
        <v>0</v>
      </c>
      <c r="J22" s="21">
        <v>1598</v>
      </c>
    </row>
    <row r="23" spans="1:10" ht="24.95" customHeight="1" thickBot="1" x14ac:dyDescent="0.3">
      <c r="A23" s="22" t="s">
        <v>16</v>
      </c>
      <c r="B23" s="37">
        <f>SUM(B7:B22)</f>
        <v>44605</v>
      </c>
      <c r="C23" s="37">
        <f t="shared" ref="C23:J23" si="0">SUM(C7:C22)</f>
        <v>35156</v>
      </c>
      <c r="D23" s="37">
        <f t="shared" si="0"/>
        <v>14373</v>
      </c>
      <c r="E23" s="37">
        <f t="shared" si="0"/>
        <v>4217</v>
      </c>
      <c r="F23" s="37">
        <f t="shared" si="0"/>
        <v>14875</v>
      </c>
      <c r="G23" s="38">
        <f t="shared" si="0"/>
        <v>13851</v>
      </c>
      <c r="H23" s="31">
        <f t="shared" si="0"/>
        <v>127077</v>
      </c>
      <c r="I23" s="37">
        <f t="shared" si="0"/>
        <v>1270</v>
      </c>
      <c r="J23" s="48">
        <f t="shared" si="0"/>
        <v>128347</v>
      </c>
    </row>
    <row r="24" spans="1:10" x14ac:dyDescent="0.25">
      <c r="A24" s="18" t="s">
        <v>17</v>
      </c>
      <c r="B24" s="5">
        <v>2095</v>
      </c>
      <c r="C24" s="6">
        <v>1509</v>
      </c>
      <c r="D24" s="6">
        <v>354</v>
      </c>
      <c r="E24" s="6">
        <v>171</v>
      </c>
      <c r="F24" s="6">
        <v>1905</v>
      </c>
      <c r="G24" s="26">
        <v>1000</v>
      </c>
      <c r="H24" s="34">
        <v>7034</v>
      </c>
      <c r="I24" s="5">
        <v>69</v>
      </c>
      <c r="J24" s="23">
        <v>7103</v>
      </c>
    </row>
    <row r="25" spans="1:10" x14ac:dyDescent="0.25">
      <c r="A25" s="18" t="s">
        <v>18</v>
      </c>
      <c r="B25" s="4">
        <v>7644</v>
      </c>
      <c r="C25" s="2">
        <v>5545</v>
      </c>
      <c r="D25" s="2">
        <v>935</v>
      </c>
      <c r="E25" s="2">
        <v>498</v>
      </c>
      <c r="F25" s="2">
        <v>4556</v>
      </c>
      <c r="G25" s="27">
        <v>3088</v>
      </c>
      <c r="H25" s="34">
        <v>22266</v>
      </c>
      <c r="I25" s="4">
        <v>130</v>
      </c>
      <c r="J25" s="23">
        <v>22396</v>
      </c>
    </row>
    <row r="26" spans="1:10" x14ac:dyDescent="0.25">
      <c r="A26" s="18" t="s">
        <v>19</v>
      </c>
      <c r="B26" s="4">
        <v>22284</v>
      </c>
      <c r="C26" s="2">
        <v>15603</v>
      </c>
      <c r="D26" s="2">
        <v>3761</v>
      </c>
      <c r="E26" s="2">
        <v>1108</v>
      </c>
      <c r="F26" s="2">
        <v>15214</v>
      </c>
      <c r="G26" s="27">
        <v>8559</v>
      </c>
      <c r="H26" s="34">
        <v>66529</v>
      </c>
      <c r="I26" s="4">
        <v>698</v>
      </c>
      <c r="J26" s="23">
        <v>67227</v>
      </c>
    </row>
    <row r="27" spans="1:10" x14ac:dyDescent="0.25">
      <c r="A27" s="18" t="s">
        <v>20</v>
      </c>
      <c r="B27" s="4">
        <v>40295</v>
      </c>
      <c r="C27" s="2">
        <v>19799</v>
      </c>
      <c r="D27" s="2">
        <v>11157</v>
      </c>
      <c r="E27" s="2">
        <v>1799</v>
      </c>
      <c r="F27" s="2">
        <v>18930</v>
      </c>
      <c r="G27" s="27">
        <v>12303</v>
      </c>
      <c r="H27" s="34">
        <v>104283</v>
      </c>
      <c r="I27" s="4">
        <v>1314</v>
      </c>
      <c r="J27" s="23">
        <v>105597</v>
      </c>
    </row>
    <row r="28" spans="1:10" x14ac:dyDescent="0.25">
      <c r="A28" s="18" t="s">
        <v>21</v>
      </c>
      <c r="B28" s="4">
        <v>65467</v>
      </c>
      <c r="C28" s="2">
        <v>26924</v>
      </c>
      <c r="D28" s="2">
        <v>14393</v>
      </c>
      <c r="E28" s="2">
        <v>4743</v>
      </c>
      <c r="F28" s="2">
        <v>18544</v>
      </c>
      <c r="G28" s="27">
        <v>9280</v>
      </c>
      <c r="H28" s="34">
        <v>139351</v>
      </c>
      <c r="I28" s="4">
        <v>1758</v>
      </c>
      <c r="J28" s="23">
        <v>141109</v>
      </c>
    </row>
    <row r="29" spans="1:10" x14ac:dyDescent="0.25">
      <c r="A29" s="18" t="s">
        <v>22</v>
      </c>
      <c r="B29" s="4">
        <v>93152</v>
      </c>
      <c r="C29" s="2">
        <v>59044</v>
      </c>
      <c r="D29" s="2">
        <v>8561</v>
      </c>
      <c r="E29" s="2">
        <v>7235</v>
      </c>
      <c r="F29" s="2">
        <v>15689</v>
      </c>
      <c r="G29" s="27">
        <v>15599</v>
      </c>
      <c r="H29" s="34">
        <v>199280</v>
      </c>
      <c r="I29" s="4">
        <v>2259</v>
      </c>
      <c r="J29" s="23">
        <v>201539</v>
      </c>
    </row>
    <row r="30" spans="1:10" x14ac:dyDescent="0.25">
      <c r="A30" s="18" t="s">
        <v>23</v>
      </c>
      <c r="B30" s="4">
        <v>38443</v>
      </c>
      <c r="C30" s="2">
        <v>16922</v>
      </c>
      <c r="D30" s="2">
        <v>5075</v>
      </c>
      <c r="E30" s="2">
        <v>14550</v>
      </c>
      <c r="F30" s="2">
        <v>13643</v>
      </c>
      <c r="G30" s="27">
        <v>3617</v>
      </c>
      <c r="H30" s="34">
        <v>92250</v>
      </c>
      <c r="I30" s="4">
        <v>322</v>
      </c>
      <c r="J30" s="23">
        <v>92572</v>
      </c>
    </row>
    <row r="31" spans="1:10" x14ac:dyDescent="0.25">
      <c r="A31" s="18" t="s">
        <v>24</v>
      </c>
      <c r="B31" s="4">
        <v>21734</v>
      </c>
      <c r="C31" s="2">
        <v>7858</v>
      </c>
      <c r="D31" s="2">
        <v>1390</v>
      </c>
      <c r="E31" s="2">
        <v>3571</v>
      </c>
      <c r="F31" s="2">
        <v>491</v>
      </c>
      <c r="G31" s="27">
        <v>1182</v>
      </c>
      <c r="H31" s="34">
        <v>36226</v>
      </c>
      <c r="I31" s="4">
        <v>1</v>
      </c>
      <c r="J31" s="23">
        <v>36227</v>
      </c>
    </row>
    <row r="32" spans="1:10" x14ac:dyDescent="0.25">
      <c r="A32" s="18" t="s">
        <v>25</v>
      </c>
      <c r="B32" s="2">
        <v>20235</v>
      </c>
      <c r="C32" s="2">
        <v>8422</v>
      </c>
      <c r="D32" s="2">
        <v>879</v>
      </c>
      <c r="E32" s="2">
        <v>1427</v>
      </c>
      <c r="F32" s="2">
        <v>1030</v>
      </c>
      <c r="G32" s="27">
        <v>1237</v>
      </c>
      <c r="H32" s="34">
        <v>33230</v>
      </c>
      <c r="I32" s="4">
        <v>0</v>
      </c>
      <c r="J32" s="23">
        <v>33230</v>
      </c>
    </row>
    <row r="33" spans="1:10" s="3" customFormat="1" ht="15.75" thickBot="1" x14ac:dyDescent="0.3">
      <c r="A33" s="18"/>
      <c r="B33" s="9"/>
      <c r="C33" s="10"/>
      <c r="D33" s="10"/>
      <c r="E33" s="10"/>
      <c r="F33" s="10"/>
      <c r="G33" s="29"/>
      <c r="H33" s="36"/>
      <c r="I33" s="9"/>
      <c r="J33" s="24"/>
    </row>
    <row r="34" spans="1:10" s="3" customFormat="1" ht="24.95" customHeight="1" thickBot="1" x14ac:dyDescent="0.3">
      <c r="A34" s="22" t="s">
        <v>26</v>
      </c>
      <c r="B34" s="37">
        <f>SUM(B24:B33)</f>
        <v>311349</v>
      </c>
      <c r="C34" s="37">
        <f>SUM(C24:C33)</f>
        <v>161626</v>
      </c>
      <c r="D34" s="37">
        <f>SUM(D24:D33)</f>
        <v>46505</v>
      </c>
      <c r="E34" s="37">
        <f>SUM(E24:E33)</f>
        <v>35102</v>
      </c>
      <c r="F34" s="37">
        <f>SUM(F24:F33)</f>
        <v>90002</v>
      </c>
      <c r="G34" s="38">
        <f>SUM(G24:G33)</f>
        <v>55865</v>
      </c>
      <c r="H34" s="46">
        <f>SUM(H24:H33)</f>
        <v>700449</v>
      </c>
      <c r="I34" s="37">
        <f>SUM(I24:I33)</f>
        <v>6551</v>
      </c>
      <c r="J34" s="47">
        <f>SUM(J24:J33)</f>
        <v>707000</v>
      </c>
    </row>
    <row r="35" spans="1:10" ht="30" customHeight="1" thickTop="1" thickBot="1" x14ac:dyDescent="0.3">
      <c r="A35" s="11" t="s">
        <v>27</v>
      </c>
      <c r="B35" s="40">
        <f>SUM(B23,B34)</f>
        <v>355954</v>
      </c>
      <c r="C35" s="40">
        <f>SUM(C23,C34)</f>
        <v>196782</v>
      </c>
      <c r="D35" s="40">
        <f>SUM(D23,D34)</f>
        <v>60878</v>
      </c>
      <c r="E35" s="40">
        <f>SUM(E23,E34)</f>
        <v>39319</v>
      </c>
      <c r="F35" s="40">
        <f>SUM(F23,F34)</f>
        <v>104877</v>
      </c>
      <c r="G35" s="41">
        <f>SUM(G23,G34)</f>
        <v>69716</v>
      </c>
      <c r="H35" s="32">
        <f>SUM(H23,H34)</f>
        <v>827526</v>
      </c>
      <c r="I35" s="40">
        <f>SUM(I23,I34)</f>
        <v>7821</v>
      </c>
      <c r="J35" s="42">
        <f>SUM(J23,J34)</f>
        <v>835347</v>
      </c>
    </row>
    <row r="36" spans="1:10" ht="33" customHeight="1" thickTop="1" x14ac:dyDescent="0.25">
      <c r="B36" s="12"/>
    </row>
    <row r="38" spans="1:10" x14ac:dyDescent="0.25">
      <c r="I38" s="3"/>
      <c r="J38" s="3"/>
    </row>
    <row r="39" spans="1:10" x14ac:dyDescent="0.25">
      <c r="I39" s="3"/>
      <c r="J39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J40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51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v>4</v>
      </c>
    </row>
    <row r="9" spans="1:10" x14ac:dyDescent="0.25">
      <c r="A9" s="18" t="s">
        <v>3</v>
      </c>
      <c r="B9" s="4">
        <v>65</v>
      </c>
      <c r="C9" s="2">
        <v>36</v>
      </c>
      <c r="D9" s="2">
        <v>15</v>
      </c>
      <c r="E9" s="2">
        <v>7</v>
      </c>
      <c r="F9" s="2">
        <v>40</v>
      </c>
      <c r="G9" s="27">
        <v>27</v>
      </c>
      <c r="H9" s="34">
        <v>190</v>
      </c>
      <c r="I9" s="4">
        <v>0</v>
      </c>
      <c r="J9" s="19">
        <v>190</v>
      </c>
    </row>
    <row r="10" spans="1:10" x14ac:dyDescent="0.25">
      <c r="A10" s="18" t="s">
        <v>4</v>
      </c>
      <c r="B10" s="4">
        <v>155</v>
      </c>
      <c r="C10" s="2">
        <v>77</v>
      </c>
      <c r="D10" s="2">
        <v>31</v>
      </c>
      <c r="E10" s="2">
        <v>5</v>
      </c>
      <c r="F10" s="2">
        <v>111</v>
      </c>
      <c r="G10" s="27">
        <v>60</v>
      </c>
      <c r="H10" s="34">
        <v>439</v>
      </c>
      <c r="I10" s="4">
        <v>1</v>
      </c>
      <c r="J10" s="19">
        <v>440</v>
      </c>
    </row>
    <row r="11" spans="1:10" x14ac:dyDescent="0.25">
      <c r="A11" s="18" t="s">
        <v>5</v>
      </c>
      <c r="B11" s="4">
        <v>1511</v>
      </c>
      <c r="C11" s="2">
        <v>1887</v>
      </c>
      <c r="D11" s="2">
        <v>1240</v>
      </c>
      <c r="E11" s="2">
        <v>328</v>
      </c>
      <c r="F11" s="2">
        <v>1011</v>
      </c>
      <c r="G11" s="27">
        <v>1108</v>
      </c>
      <c r="H11" s="34">
        <v>7085</v>
      </c>
      <c r="I11" s="4">
        <v>41</v>
      </c>
      <c r="J11" s="19">
        <v>7126</v>
      </c>
    </row>
    <row r="12" spans="1:10" x14ac:dyDescent="0.25">
      <c r="A12" s="18" t="s">
        <v>6</v>
      </c>
      <c r="B12" s="4">
        <v>3701</v>
      </c>
      <c r="C12" s="2">
        <v>5510</v>
      </c>
      <c r="D12" s="2">
        <v>3093</v>
      </c>
      <c r="E12" s="2">
        <v>860</v>
      </c>
      <c r="F12" s="2">
        <v>4006</v>
      </c>
      <c r="G12" s="27">
        <v>4162</v>
      </c>
      <c r="H12" s="34">
        <v>21332</v>
      </c>
      <c r="I12" s="4">
        <v>187</v>
      </c>
      <c r="J12" s="19">
        <v>21519</v>
      </c>
    </row>
    <row r="13" spans="1:10" x14ac:dyDescent="0.25">
      <c r="A13" s="18" t="s">
        <v>7</v>
      </c>
      <c r="B13" s="4">
        <v>6666</v>
      </c>
      <c r="C13" s="2">
        <v>6684</v>
      </c>
      <c r="D13" s="2">
        <v>4486</v>
      </c>
      <c r="E13" s="2">
        <v>1059</v>
      </c>
      <c r="F13" s="2">
        <v>4099</v>
      </c>
      <c r="G13" s="27">
        <v>4608</v>
      </c>
      <c r="H13" s="34">
        <v>27602</v>
      </c>
      <c r="I13" s="4">
        <v>296</v>
      </c>
      <c r="J13" s="19">
        <v>27898</v>
      </c>
    </row>
    <row r="14" spans="1:10" x14ac:dyDescent="0.25">
      <c r="A14" s="18" t="s">
        <v>8</v>
      </c>
      <c r="B14" s="4">
        <v>10403</v>
      </c>
      <c r="C14" s="2">
        <v>10457</v>
      </c>
      <c r="D14" s="2">
        <v>3824</v>
      </c>
      <c r="E14" s="2">
        <v>1178</v>
      </c>
      <c r="F14" s="2">
        <v>3404</v>
      </c>
      <c r="G14" s="27">
        <v>3046</v>
      </c>
      <c r="H14" s="34">
        <v>32312</v>
      </c>
      <c r="I14" s="4">
        <v>461</v>
      </c>
      <c r="J14" s="19">
        <v>32773</v>
      </c>
    </row>
    <row r="15" spans="1:10" x14ac:dyDescent="0.25">
      <c r="A15" s="18" t="s">
        <v>9</v>
      </c>
      <c r="B15" s="4">
        <v>8908</v>
      </c>
      <c r="C15" s="2">
        <v>4870</v>
      </c>
      <c r="D15" s="2">
        <v>1017</v>
      </c>
      <c r="E15" s="2">
        <v>226</v>
      </c>
      <c r="F15" s="2">
        <v>1050</v>
      </c>
      <c r="G15" s="27">
        <v>505</v>
      </c>
      <c r="H15" s="34">
        <v>16576</v>
      </c>
      <c r="I15" s="4">
        <v>110</v>
      </c>
      <c r="J15" s="19">
        <v>16686</v>
      </c>
    </row>
    <row r="16" spans="1:10" x14ac:dyDescent="0.25">
      <c r="A16" s="18" t="s">
        <v>10</v>
      </c>
      <c r="B16" s="4">
        <v>4685</v>
      </c>
      <c r="C16" s="2">
        <v>2351</v>
      </c>
      <c r="D16" s="2">
        <v>608</v>
      </c>
      <c r="E16" s="2">
        <v>282</v>
      </c>
      <c r="F16" s="2">
        <v>1151</v>
      </c>
      <c r="G16" s="27">
        <v>346</v>
      </c>
      <c r="H16" s="34">
        <v>9423</v>
      </c>
      <c r="I16" s="4">
        <v>29</v>
      </c>
      <c r="J16" s="19">
        <v>9452</v>
      </c>
    </row>
    <row r="17" spans="1:10" x14ac:dyDescent="0.25">
      <c r="A17" s="18" t="s">
        <v>11</v>
      </c>
      <c r="B17" s="4">
        <v>0</v>
      </c>
      <c r="C17" s="2">
        <v>0</v>
      </c>
      <c r="D17" s="2">
        <v>0</v>
      </c>
      <c r="E17" s="2">
        <v>0</v>
      </c>
      <c r="F17" s="2">
        <v>1</v>
      </c>
      <c r="G17" s="27">
        <v>1</v>
      </c>
      <c r="H17" s="34">
        <v>2</v>
      </c>
      <c r="I17" s="4">
        <v>0</v>
      </c>
      <c r="J17" s="19">
        <v>2</v>
      </c>
    </row>
    <row r="18" spans="1:10" x14ac:dyDescent="0.25">
      <c r="A18" s="18" t="s">
        <v>12</v>
      </c>
      <c r="B18" s="4">
        <v>375</v>
      </c>
      <c r="C18" s="2">
        <v>91</v>
      </c>
      <c r="D18" s="2">
        <v>2</v>
      </c>
      <c r="E18" s="2">
        <v>13</v>
      </c>
      <c r="F18" s="2">
        <v>0</v>
      </c>
      <c r="G18" s="27">
        <v>0</v>
      </c>
      <c r="H18" s="34">
        <v>481</v>
      </c>
      <c r="I18" s="4">
        <v>0</v>
      </c>
      <c r="J18" s="19">
        <v>481</v>
      </c>
    </row>
    <row r="19" spans="1:10" x14ac:dyDescent="0.25">
      <c r="A19" s="18" t="s">
        <v>13</v>
      </c>
      <c r="B19" s="4">
        <v>1470</v>
      </c>
      <c r="C19" s="2">
        <v>606</v>
      </c>
      <c r="D19" s="2">
        <v>9</v>
      </c>
      <c r="E19" s="2">
        <v>42</v>
      </c>
      <c r="F19" s="2">
        <v>0</v>
      </c>
      <c r="G19" s="27">
        <v>0</v>
      </c>
      <c r="H19" s="34">
        <v>2127</v>
      </c>
      <c r="I19" s="4">
        <v>20</v>
      </c>
      <c r="J19" s="19">
        <v>2147</v>
      </c>
    </row>
    <row r="20" spans="1:10" x14ac:dyDescent="0.25">
      <c r="A20" s="18" t="s">
        <v>14</v>
      </c>
      <c r="B20" s="4">
        <v>1943</v>
      </c>
      <c r="C20" s="2">
        <v>641</v>
      </c>
      <c r="D20" s="2">
        <v>35</v>
      </c>
      <c r="E20" s="2">
        <v>73</v>
      </c>
      <c r="F20" s="2">
        <v>0</v>
      </c>
      <c r="G20" s="27">
        <v>0</v>
      </c>
      <c r="H20" s="34">
        <v>2692</v>
      </c>
      <c r="I20" s="4">
        <v>52</v>
      </c>
      <c r="J20" s="19">
        <v>2744</v>
      </c>
    </row>
    <row r="21" spans="1:10" x14ac:dyDescent="0.25">
      <c r="A21" s="18" t="s">
        <v>15</v>
      </c>
      <c r="B21" s="4">
        <v>3574</v>
      </c>
      <c r="C21" s="2">
        <v>1529</v>
      </c>
      <c r="D21" s="2">
        <v>42</v>
      </c>
      <c r="E21" s="2">
        <v>108</v>
      </c>
      <c r="F21" s="2">
        <v>0</v>
      </c>
      <c r="G21" s="27">
        <v>0</v>
      </c>
      <c r="H21" s="34">
        <v>5253</v>
      </c>
      <c r="I21" s="4">
        <v>69</v>
      </c>
      <c r="J21" s="19">
        <v>5322</v>
      </c>
    </row>
    <row r="22" spans="1:10" ht="15.75" thickBot="1" x14ac:dyDescent="0.3">
      <c r="A22" s="20"/>
      <c r="B22" s="7">
        <v>1117</v>
      </c>
      <c r="C22" s="8">
        <v>411</v>
      </c>
      <c r="D22" s="8">
        <v>0</v>
      </c>
      <c r="E22" s="8">
        <v>37</v>
      </c>
      <c r="F22" s="8">
        <v>0</v>
      </c>
      <c r="G22" s="28">
        <v>0</v>
      </c>
      <c r="H22" s="35">
        <v>1565</v>
      </c>
      <c r="I22" s="7">
        <v>0</v>
      </c>
      <c r="J22" s="21">
        <v>1565</v>
      </c>
    </row>
    <row r="23" spans="1:10" ht="24.95" customHeight="1" thickBot="1" x14ac:dyDescent="0.3">
      <c r="A23" s="22" t="s">
        <v>16</v>
      </c>
      <c r="B23" s="37">
        <f>SUM(B7:B22)</f>
        <v>44574</v>
      </c>
      <c r="C23" s="37">
        <f t="shared" ref="C23:J23" si="0">SUM(C7:C22)</f>
        <v>35150</v>
      </c>
      <c r="D23" s="37">
        <f t="shared" si="0"/>
        <v>14402</v>
      </c>
      <c r="E23" s="37">
        <f t="shared" si="0"/>
        <v>4218</v>
      </c>
      <c r="F23" s="37">
        <f t="shared" si="0"/>
        <v>14877</v>
      </c>
      <c r="G23" s="38">
        <f t="shared" si="0"/>
        <v>13863</v>
      </c>
      <c r="H23" s="31">
        <f t="shared" si="0"/>
        <v>127084</v>
      </c>
      <c r="I23" s="37">
        <f t="shared" si="0"/>
        <v>1266</v>
      </c>
      <c r="J23" s="48">
        <f t="shared" si="0"/>
        <v>128350</v>
      </c>
    </row>
    <row r="24" spans="1:10" x14ac:dyDescent="0.25">
      <c r="A24" s="18" t="s">
        <v>17</v>
      </c>
      <c r="B24" s="5">
        <v>2108</v>
      </c>
      <c r="C24" s="6">
        <v>1495</v>
      </c>
      <c r="D24" s="6">
        <v>352</v>
      </c>
      <c r="E24" s="6">
        <v>178</v>
      </c>
      <c r="F24" s="6">
        <v>1901</v>
      </c>
      <c r="G24" s="26">
        <v>1002</v>
      </c>
      <c r="H24" s="34">
        <v>7036</v>
      </c>
      <c r="I24" s="5">
        <v>75</v>
      </c>
      <c r="J24" s="23">
        <v>7111</v>
      </c>
    </row>
    <row r="25" spans="1:10" x14ac:dyDescent="0.25">
      <c r="A25" s="18" t="s">
        <v>18</v>
      </c>
      <c r="B25" s="4">
        <v>7654</v>
      </c>
      <c r="C25" s="2">
        <v>5536</v>
      </c>
      <c r="D25" s="2">
        <v>943</v>
      </c>
      <c r="E25" s="2">
        <v>507</v>
      </c>
      <c r="F25" s="2">
        <v>4569</v>
      </c>
      <c r="G25" s="27">
        <v>3077</v>
      </c>
      <c r="H25" s="34">
        <v>22286</v>
      </c>
      <c r="I25" s="4">
        <v>129</v>
      </c>
      <c r="J25" s="23">
        <v>22415</v>
      </c>
    </row>
    <row r="26" spans="1:10" x14ac:dyDescent="0.25">
      <c r="A26" s="18" t="s">
        <v>19</v>
      </c>
      <c r="B26" s="4">
        <v>22348</v>
      </c>
      <c r="C26" s="2">
        <v>15710</v>
      </c>
      <c r="D26" s="2">
        <v>3735</v>
      </c>
      <c r="E26" s="2">
        <v>1105</v>
      </c>
      <c r="F26" s="2">
        <v>15157</v>
      </c>
      <c r="G26" s="27">
        <v>8549</v>
      </c>
      <c r="H26" s="34">
        <v>66604</v>
      </c>
      <c r="I26" s="4">
        <v>702</v>
      </c>
      <c r="J26" s="23">
        <v>67306</v>
      </c>
    </row>
    <row r="27" spans="1:10" x14ac:dyDescent="0.25">
      <c r="A27" s="18" t="s">
        <v>20</v>
      </c>
      <c r="B27" s="4">
        <v>40134</v>
      </c>
      <c r="C27" s="2">
        <v>19821</v>
      </c>
      <c r="D27" s="2">
        <v>11099</v>
      </c>
      <c r="E27" s="2">
        <v>1860</v>
      </c>
      <c r="F27" s="2">
        <v>18956</v>
      </c>
      <c r="G27" s="27">
        <v>12287</v>
      </c>
      <c r="H27" s="34">
        <v>104157</v>
      </c>
      <c r="I27" s="4">
        <v>1315</v>
      </c>
      <c r="J27" s="23">
        <v>105472</v>
      </c>
    </row>
    <row r="28" spans="1:10" x14ac:dyDescent="0.25">
      <c r="A28" s="18" t="s">
        <v>21</v>
      </c>
      <c r="B28" s="4">
        <v>65422</v>
      </c>
      <c r="C28" s="2">
        <v>27210</v>
      </c>
      <c r="D28" s="2">
        <v>14287</v>
      </c>
      <c r="E28" s="2">
        <v>4902</v>
      </c>
      <c r="F28" s="2">
        <v>18509</v>
      </c>
      <c r="G28" s="27">
        <v>9252</v>
      </c>
      <c r="H28" s="34">
        <v>139582</v>
      </c>
      <c r="I28" s="4">
        <v>1758</v>
      </c>
      <c r="J28" s="23">
        <v>141340</v>
      </c>
    </row>
    <row r="29" spans="1:10" x14ac:dyDescent="0.25">
      <c r="A29" s="18" t="s">
        <v>22</v>
      </c>
      <c r="B29" s="4">
        <v>92896</v>
      </c>
      <c r="C29" s="2">
        <v>58176</v>
      </c>
      <c r="D29" s="2">
        <v>8486</v>
      </c>
      <c r="E29" s="2">
        <v>7347</v>
      </c>
      <c r="F29" s="2">
        <v>15764</v>
      </c>
      <c r="G29" s="27">
        <v>15597</v>
      </c>
      <c r="H29" s="34">
        <v>198266</v>
      </c>
      <c r="I29" s="4">
        <v>2256</v>
      </c>
      <c r="J29" s="23">
        <v>200522</v>
      </c>
    </row>
    <row r="30" spans="1:10" x14ac:dyDescent="0.25">
      <c r="A30" s="18" t="s">
        <v>23</v>
      </c>
      <c r="B30" s="4">
        <v>38716</v>
      </c>
      <c r="C30" s="2">
        <v>17092</v>
      </c>
      <c r="D30" s="2">
        <v>5045</v>
      </c>
      <c r="E30" s="2">
        <v>14385</v>
      </c>
      <c r="F30" s="2">
        <v>13643</v>
      </c>
      <c r="G30" s="27">
        <v>3562</v>
      </c>
      <c r="H30" s="34">
        <v>92443</v>
      </c>
      <c r="I30" s="4">
        <v>302</v>
      </c>
      <c r="J30" s="23">
        <v>92745</v>
      </c>
    </row>
    <row r="31" spans="1:10" x14ac:dyDescent="0.25">
      <c r="A31" s="18" t="s">
        <v>24</v>
      </c>
      <c r="B31" s="4">
        <v>22028</v>
      </c>
      <c r="C31" s="2">
        <v>7651</v>
      </c>
      <c r="D31" s="2">
        <v>1393</v>
      </c>
      <c r="E31" s="2">
        <v>3529</v>
      </c>
      <c r="F31" s="2">
        <v>471</v>
      </c>
      <c r="G31" s="27">
        <v>1175</v>
      </c>
      <c r="H31" s="34">
        <v>36247</v>
      </c>
      <c r="I31" s="4">
        <v>1</v>
      </c>
      <c r="J31" s="23">
        <v>36248</v>
      </c>
    </row>
    <row r="32" spans="1:10" x14ac:dyDescent="0.25">
      <c r="A32" s="18" t="s">
        <v>25</v>
      </c>
      <c r="B32" s="2">
        <v>19873</v>
      </c>
      <c r="C32" s="2">
        <v>8410</v>
      </c>
      <c r="D32" s="2">
        <v>834</v>
      </c>
      <c r="E32" s="2">
        <v>1297</v>
      </c>
      <c r="F32" s="2">
        <v>1132</v>
      </c>
      <c r="G32" s="27">
        <v>1241</v>
      </c>
      <c r="H32" s="34">
        <v>32787</v>
      </c>
      <c r="I32" s="4">
        <v>0</v>
      </c>
      <c r="J32" s="23">
        <v>32787</v>
      </c>
    </row>
    <row r="33" spans="1:10" x14ac:dyDescent="0.25">
      <c r="A33" s="18" t="s">
        <v>52</v>
      </c>
      <c r="B33" s="2">
        <v>0</v>
      </c>
      <c r="C33" s="2">
        <v>0</v>
      </c>
      <c r="D33" s="2">
        <v>0</v>
      </c>
      <c r="E33" s="2">
        <v>0</v>
      </c>
      <c r="F33" s="2">
        <v>2</v>
      </c>
      <c r="G33" s="27">
        <v>0</v>
      </c>
      <c r="H33" s="44">
        <v>2</v>
      </c>
      <c r="I33" s="4">
        <v>0</v>
      </c>
      <c r="J33" s="45">
        <v>2</v>
      </c>
    </row>
    <row r="34" spans="1:10" s="3" customFormat="1" ht="15.75" thickBot="1" x14ac:dyDescent="0.3">
      <c r="A34" s="18"/>
      <c r="B34" s="9"/>
      <c r="C34" s="10"/>
      <c r="D34" s="10"/>
      <c r="E34" s="10"/>
      <c r="F34" s="10"/>
      <c r="G34" s="29"/>
      <c r="H34" s="36"/>
      <c r="I34" s="9"/>
      <c r="J34" s="24"/>
    </row>
    <row r="35" spans="1:10" s="3" customFormat="1" ht="24.95" customHeight="1" thickBot="1" x14ac:dyDescent="0.3">
      <c r="A35" s="22" t="s">
        <v>26</v>
      </c>
      <c r="B35" s="37">
        <f>SUM(B24:B34)</f>
        <v>311179</v>
      </c>
      <c r="C35" s="37">
        <f t="shared" ref="C35:J35" si="1">SUM(C24:C34)</f>
        <v>161101</v>
      </c>
      <c r="D35" s="37">
        <f t="shared" si="1"/>
        <v>46174</v>
      </c>
      <c r="E35" s="37">
        <f t="shared" si="1"/>
        <v>35110</v>
      </c>
      <c r="F35" s="37">
        <f t="shared" si="1"/>
        <v>90104</v>
      </c>
      <c r="G35" s="38">
        <f t="shared" si="1"/>
        <v>55742</v>
      </c>
      <c r="H35" s="46">
        <f t="shared" si="1"/>
        <v>699410</v>
      </c>
      <c r="I35" s="37">
        <f t="shared" si="1"/>
        <v>6538</v>
      </c>
      <c r="J35" s="47">
        <f t="shared" si="1"/>
        <v>705948</v>
      </c>
    </row>
    <row r="36" spans="1:10" ht="30" customHeight="1" thickTop="1" thickBot="1" x14ac:dyDescent="0.3">
      <c r="A36" s="11" t="s">
        <v>27</v>
      </c>
      <c r="B36" s="40">
        <f t="shared" ref="B36:J36" si="2">SUM(B23,B35)</f>
        <v>355753</v>
      </c>
      <c r="C36" s="40">
        <f t="shared" si="2"/>
        <v>196251</v>
      </c>
      <c r="D36" s="40">
        <f t="shared" si="2"/>
        <v>60576</v>
      </c>
      <c r="E36" s="40">
        <f t="shared" si="2"/>
        <v>39328</v>
      </c>
      <c r="F36" s="40">
        <f t="shared" si="2"/>
        <v>104981</v>
      </c>
      <c r="G36" s="41">
        <f t="shared" si="2"/>
        <v>69605</v>
      </c>
      <c r="H36" s="32">
        <f t="shared" si="2"/>
        <v>826494</v>
      </c>
      <c r="I36" s="40">
        <f t="shared" si="2"/>
        <v>7804</v>
      </c>
      <c r="J36" s="42">
        <f t="shared" si="2"/>
        <v>834298</v>
      </c>
    </row>
    <row r="37" spans="1:10" ht="33" customHeight="1" thickTop="1" x14ac:dyDescent="0.25">
      <c r="B37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J39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43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f>H7+I7</f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f>H8+I8</f>
        <v>4</v>
      </c>
    </row>
    <row r="9" spans="1:10" x14ac:dyDescent="0.25">
      <c r="A9" s="18" t="s">
        <v>3</v>
      </c>
      <c r="B9" s="4">
        <v>65</v>
      </c>
      <c r="C9" s="2">
        <v>37</v>
      </c>
      <c r="D9" s="2">
        <v>15</v>
      </c>
      <c r="E9" s="2">
        <v>7</v>
      </c>
      <c r="F9" s="2">
        <v>39</v>
      </c>
      <c r="G9" s="27">
        <v>27</v>
      </c>
      <c r="H9" s="34">
        <v>190</v>
      </c>
      <c r="I9" s="4">
        <v>0</v>
      </c>
      <c r="J9" s="19">
        <f t="shared" ref="J9:J21" si="0">H9+I9</f>
        <v>190</v>
      </c>
    </row>
    <row r="10" spans="1:10" x14ac:dyDescent="0.25">
      <c r="A10" s="18" t="s">
        <v>4</v>
      </c>
      <c r="B10" s="4">
        <v>154</v>
      </c>
      <c r="C10" s="2">
        <v>73</v>
      </c>
      <c r="D10" s="2">
        <v>31</v>
      </c>
      <c r="E10" s="2">
        <v>5</v>
      </c>
      <c r="F10" s="2">
        <v>111</v>
      </c>
      <c r="G10" s="27">
        <v>58</v>
      </c>
      <c r="H10" s="34">
        <v>432</v>
      </c>
      <c r="I10" s="4">
        <v>1</v>
      </c>
      <c r="J10" s="19">
        <f t="shared" si="0"/>
        <v>433</v>
      </c>
    </row>
    <row r="11" spans="1:10" x14ac:dyDescent="0.25">
      <c r="A11" s="18" t="s">
        <v>5</v>
      </c>
      <c r="B11" s="4">
        <v>1529</v>
      </c>
      <c r="C11" s="2">
        <v>1894</v>
      </c>
      <c r="D11" s="2">
        <v>1240</v>
      </c>
      <c r="E11" s="2">
        <v>334</v>
      </c>
      <c r="F11" s="2">
        <v>1002</v>
      </c>
      <c r="G11" s="27">
        <v>1105</v>
      </c>
      <c r="H11" s="34">
        <v>7104</v>
      </c>
      <c r="I11" s="4">
        <v>41</v>
      </c>
      <c r="J11" s="19">
        <f t="shared" si="0"/>
        <v>7145</v>
      </c>
    </row>
    <row r="12" spans="1:10" x14ac:dyDescent="0.25">
      <c r="A12" s="18" t="s">
        <v>6</v>
      </c>
      <c r="B12" s="4">
        <v>3743</v>
      </c>
      <c r="C12" s="2">
        <v>5652</v>
      </c>
      <c r="D12" s="2">
        <v>3099</v>
      </c>
      <c r="E12" s="2">
        <v>857</v>
      </c>
      <c r="F12" s="2">
        <v>4023</v>
      </c>
      <c r="G12" s="27">
        <v>4133</v>
      </c>
      <c r="H12" s="34">
        <v>21507</v>
      </c>
      <c r="I12" s="4">
        <v>186</v>
      </c>
      <c r="J12" s="19">
        <f t="shared" si="0"/>
        <v>21693</v>
      </c>
    </row>
    <row r="13" spans="1:10" x14ac:dyDescent="0.25">
      <c r="A13" s="18" t="s">
        <v>7</v>
      </c>
      <c r="B13" s="4">
        <v>6611</v>
      </c>
      <c r="C13" s="2">
        <v>6446</v>
      </c>
      <c r="D13" s="2">
        <v>4493</v>
      </c>
      <c r="E13" s="2">
        <v>1071</v>
      </c>
      <c r="F13" s="2">
        <v>4131</v>
      </c>
      <c r="G13" s="27">
        <v>4616</v>
      </c>
      <c r="H13" s="34">
        <v>27368</v>
      </c>
      <c r="I13" s="4">
        <v>294</v>
      </c>
      <c r="J13" s="19">
        <f t="shared" si="0"/>
        <v>27662</v>
      </c>
    </row>
    <row r="14" spans="1:10" x14ac:dyDescent="0.25">
      <c r="A14" s="18" t="s">
        <v>8</v>
      </c>
      <c r="B14" s="4">
        <v>10504</v>
      </c>
      <c r="C14" s="2">
        <v>10656</v>
      </c>
      <c r="D14" s="2">
        <v>3842</v>
      </c>
      <c r="E14" s="2">
        <v>1180</v>
      </c>
      <c r="F14" s="2">
        <v>3357</v>
      </c>
      <c r="G14" s="27">
        <v>3045</v>
      </c>
      <c r="H14" s="34">
        <v>32584</v>
      </c>
      <c r="I14" s="4">
        <v>457</v>
      </c>
      <c r="J14" s="19">
        <f t="shared" si="0"/>
        <v>33041</v>
      </c>
    </row>
    <row r="15" spans="1:10" x14ac:dyDescent="0.25">
      <c r="A15" s="18" t="s">
        <v>9</v>
      </c>
      <c r="B15" s="4">
        <v>8918</v>
      </c>
      <c r="C15" s="2">
        <v>4798</v>
      </c>
      <c r="D15" s="2">
        <v>1000</v>
      </c>
      <c r="E15" s="2">
        <v>234</v>
      </c>
      <c r="F15" s="2">
        <v>1169</v>
      </c>
      <c r="G15" s="27">
        <v>503</v>
      </c>
      <c r="H15" s="34">
        <v>16622</v>
      </c>
      <c r="I15" s="4">
        <v>110</v>
      </c>
      <c r="J15" s="19">
        <f t="shared" si="0"/>
        <v>16732</v>
      </c>
    </row>
    <row r="16" spans="1:10" x14ac:dyDescent="0.25">
      <c r="A16" s="18" t="s">
        <v>10</v>
      </c>
      <c r="B16" s="4">
        <v>4648</v>
      </c>
      <c r="C16" s="2">
        <v>2732</v>
      </c>
      <c r="D16" s="2">
        <v>613</v>
      </c>
      <c r="E16" s="2">
        <v>286</v>
      </c>
      <c r="F16" s="2">
        <v>1088</v>
      </c>
      <c r="G16" s="27">
        <v>362</v>
      </c>
      <c r="H16" s="34">
        <v>9729</v>
      </c>
      <c r="I16" s="4">
        <v>29</v>
      </c>
      <c r="J16" s="19">
        <f t="shared" si="0"/>
        <v>9758</v>
      </c>
    </row>
    <row r="17" spans="1:10" x14ac:dyDescent="0.25">
      <c r="A17" s="18" t="s">
        <v>11</v>
      </c>
      <c r="B17" s="4">
        <v>378</v>
      </c>
      <c r="C17" s="2">
        <v>93</v>
      </c>
      <c r="D17" s="2">
        <v>2</v>
      </c>
      <c r="E17" s="2">
        <v>12</v>
      </c>
      <c r="F17" s="2">
        <v>0</v>
      </c>
      <c r="G17" s="27">
        <v>0</v>
      </c>
      <c r="H17" s="34">
        <v>485</v>
      </c>
      <c r="I17" s="4">
        <v>0</v>
      </c>
      <c r="J17" s="19">
        <f t="shared" si="0"/>
        <v>485</v>
      </c>
    </row>
    <row r="18" spans="1:10" x14ac:dyDescent="0.25">
      <c r="A18" s="18" t="s">
        <v>12</v>
      </c>
      <c r="B18" s="4">
        <v>1493</v>
      </c>
      <c r="C18" s="2">
        <v>603</v>
      </c>
      <c r="D18" s="2">
        <v>9</v>
      </c>
      <c r="E18" s="2">
        <v>43</v>
      </c>
      <c r="F18" s="2">
        <v>0</v>
      </c>
      <c r="G18" s="27">
        <v>0</v>
      </c>
      <c r="H18" s="34">
        <v>2148</v>
      </c>
      <c r="I18" s="4">
        <v>20</v>
      </c>
      <c r="J18" s="19">
        <f t="shared" si="0"/>
        <v>2168</v>
      </c>
    </row>
    <row r="19" spans="1:10" x14ac:dyDescent="0.25">
      <c r="A19" s="18" t="s">
        <v>13</v>
      </c>
      <c r="B19" s="4">
        <v>1982</v>
      </c>
      <c r="C19" s="2">
        <v>660</v>
      </c>
      <c r="D19" s="2">
        <v>32</v>
      </c>
      <c r="E19" s="2">
        <v>74</v>
      </c>
      <c r="F19" s="2">
        <v>0</v>
      </c>
      <c r="G19" s="27">
        <v>0</v>
      </c>
      <c r="H19" s="34">
        <v>2748</v>
      </c>
      <c r="I19" s="4">
        <v>52</v>
      </c>
      <c r="J19" s="19">
        <f t="shared" si="0"/>
        <v>2800</v>
      </c>
    </row>
    <row r="20" spans="1:10" x14ac:dyDescent="0.25">
      <c r="A20" s="18" t="s">
        <v>14</v>
      </c>
      <c r="B20" s="4">
        <v>3566</v>
      </c>
      <c r="C20" s="2">
        <v>1521</v>
      </c>
      <c r="D20" s="2">
        <v>42</v>
      </c>
      <c r="E20" s="2">
        <v>105</v>
      </c>
      <c r="F20" s="2">
        <v>0</v>
      </c>
      <c r="G20" s="27">
        <v>0</v>
      </c>
      <c r="H20" s="34">
        <v>5234</v>
      </c>
      <c r="I20" s="4">
        <v>70</v>
      </c>
      <c r="J20" s="19">
        <f t="shared" si="0"/>
        <v>5304</v>
      </c>
    </row>
    <row r="21" spans="1:10" x14ac:dyDescent="0.25">
      <c r="A21" s="18" t="s">
        <v>15</v>
      </c>
      <c r="B21" s="4">
        <v>1072</v>
      </c>
      <c r="C21" s="2">
        <v>396</v>
      </c>
      <c r="D21" s="2">
        <v>0</v>
      </c>
      <c r="E21" s="2">
        <v>37</v>
      </c>
      <c r="F21" s="2">
        <v>0</v>
      </c>
      <c r="G21" s="27">
        <v>0</v>
      </c>
      <c r="H21" s="34">
        <v>1505</v>
      </c>
      <c r="I21" s="4">
        <v>0</v>
      </c>
      <c r="J21" s="19">
        <f t="shared" si="0"/>
        <v>1505</v>
      </c>
    </row>
    <row r="22" spans="1:10" ht="15.75" thickBot="1" x14ac:dyDescent="0.3">
      <c r="A22" s="20"/>
      <c r="B22" s="7"/>
      <c r="C22" s="8"/>
      <c r="D22" s="8"/>
      <c r="E22" s="8"/>
      <c r="F22" s="8"/>
      <c r="G22" s="28"/>
      <c r="H22" s="35"/>
      <c r="I22" s="7"/>
      <c r="J22" s="21"/>
    </row>
    <row r="23" spans="1:10" ht="24.95" customHeight="1" thickBot="1" x14ac:dyDescent="0.3">
      <c r="A23" s="22" t="s">
        <v>16</v>
      </c>
      <c r="B23" s="37">
        <f>SUM(B7:B22)</f>
        <v>44664</v>
      </c>
      <c r="C23" s="37">
        <f t="shared" ref="C23:J23" si="1">SUM(C7:C22)</f>
        <v>35561</v>
      </c>
      <c r="D23" s="37">
        <f t="shared" si="1"/>
        <v>14418</v>
      </c>
      <c r="E23" s="37">
        <f t="shared" si="1"/>
        <v>4245</v>
      </c>
      <c r="F23" s="37">
        <f t="shared" si="1"/>
        <v>14924</v>
      </c>
      <c r="G23" s="38">
        <f t="shared" si="1"/>
        <v>13849</v>
      </c>
      <c r="H23" s="31">
        <f t="shared" si="1"/>
        <v>127661</v>
      </c>
      <c r="I23" s="37">
        <f t="shared" si="1"/>
        <v>1260</v>
      </c>
      <c r="J23" s="48">
        <f t="shared" si="1"/>
        <v>128921</v>
      </c>
    </row>
    <row r="24" spans="1:10" x14ac:dyDescent="0.25">
      <c r="A24" s="18" t="s">
        <v>17</v>
      </c>
      <c r="B24" s="5">
        <v>2111</v>
      </c>
      <c r="C24" s="6">
        <v>1550</v>
      </c>
      <c r="D24" s="6">
        <v>349</v>
      </c>
      <c r="E24" s="6">
        <v>176</v>
      </c>
      <c r="F24" s="6">
        <v>1912</v>
      </c>
      <c r="G24" s="26">
        <v>993</v>
      </c>
      <c r="H24" s="34">
        <v>7091</v>
      </c>
      <c r="I24" s="5">
        <v>74</v>
      </c>
      <c r="J24" s="23">
        <f>H24+I24</f>
        <v>7165</v>
      </c>
    </row>
    <row r="25" spans="1:10" x14ac:dyDescent="0.25">
      <c r="A25" s="18" t="s">
        <v>18</v>
      </c>
      <c r="B25" s="4">
        <v>7678</v>
      </c>
      <c r="C25" s="2">
        <v>5423</v>
      </c>
      <c r="D25" s="2">
        <v>929</v>
      </c>
      <c r="E25" s="2">
        <v>516</v>
      </c>
      <c r="F25" s="2">
        <v>4553</v>
      </c>
      <c r="G25" s="27">
        <v>3069</v>
      </c>
      <c r="H25" s="34">
        <v>22168</v>
      </c>
      <c r="I25" s="4">
        <v>130</v>
      </c>
      <c r="J25" s="23">
        <f t="shared" ref="J25:J32" si="2">H25+I25</f>
        <v>22298</v>
      </c>
    </row>
    <row r="26" spans="1:10" x14ac:dyDescent="0.25">
      <c r="A26" s="18" t="s">
        <v>19</v>
      </c>
      <c r="B26" s="4">
        <v>22427</v>
      </c>
      <c r="C26" s="2">
        <v>15611</v>
      </c>
      <c r="D26" s="2">
        <v>3724</v>
      </c>
      <c r="E26" s="2">
        <v>1104</v>
      </c>
      <c r="F26" s="2">
        <v>15171</v>
      </c>
      <c r="G26" s="27">
        <v>8532</v>
      </c>
      <c r="H26" s="34">
        <v>66569</v>
      </c>
      <c r="I26" s="4">
        <v>702</v>
      </c>
      <c r="J26" s="23">
        <f t="shared" si="2"/>
        <v>67271</v>
      </c>
    </row>
    <row r="27" spans="1:10" x14ac:dyDescent="0.25">
      <c r="A27" s="18" t="s">
        <v>20</v>
      </c>
      <c r="B27" s="4">
        <v>40445</v>
      </c>
      <c r="C27" s="2">
        <v>19814</v>
      </c>
      <c r="D27" s="2">
        <v>11011</v>
      </c>
      <c r="E27" s="2">
        <v>1913</v>
      </c>
      <c r="F27" s="2">
        <v>18924</v>
      </c>
      <c r="G27" s="27">
        <v>12298</v>
      </c>
      <c r="H27" s="34">
        <v>104405</v>
      </c>
      <c r="I27" s="4">
        <v>1320</v>
      </c>
      <c r="J27" s="23">
        <f t="shared" si="2"/>
        <v>105725</v>
      </c>
    </row>
    <row r="28" spans="1:10" x14ac:dyDescent="0.25">
      <c r="A28" s="18" t="s">
        <v>21</v>
      </c>
      <c r="B28" s="4">
        <v>65127</v>
      </c>
      <c r="C28" s="2">
        <v>27164</v>
      </c>
      <c r="D28" s="2">
        <v>14094</v>
      </c>
      <c r="E28" s="2">
        <v>4732</v>
      </c>
      <c r="F28" s="2">
        <v>18483</v>
      </c>
      <c r="G28" s="27">
        <v>9281</v>
      </c>
      <c r="H28" s="34">
        <v>138881</v>
      </c>
      <c r="I28" s="4">
        <v>1749</v>
      </c>
      <c r="J28" s="23">
        <f t="shared" si="2"/>
        <v>140630</v>
      </c>
    </row>
    <row r="29" spans="1:10" x14ac:dyDescent="0.25">
      <c r="A29" s="18" t="s">
        <v>22</v>
      </c>
      <c r="B29" s="4">
        <v>92449</v>
      </c>
      <c r="C29" s="2">
        <v>58058</v>
      </c>
      <c r="D29" s="2">
        <v>8370</v>
      </c>
      <c r="E29" s="2">
        <v>7208</v>
      </c>
      <c r="F29" s="2">
        <v>15925</v>
      </c>
      <c r="G29" s="27">
        <v>15730</v>
      </c>
      <c r="H29" s="34">
        <v>197740</v>
      </c>
      <c r="I29" s="4">
        <v>2259</v>
      </c>
      <c r="J29" s="23">
        <f t="shared" si="2"/>
        <v>199999</v>
      </c>
    </row>
    <row r="30" spans="1:10" x14ac:dyDescent="0.25">
      <c r="A30" s="18" t="s">
        <v>23</v>
      </c>
      <c r="B30" s="4">
        <v>38961</v>
      </c>
      <c r="C30" s="2">
        <v>16947</v>
      </c>
      <c r="D30" s="2">
        <v>5100</v>
      </c>
      <c r="E30" s="2">
        <v>14634</v>
      </c>
      <c r="F30" s="2">
        <v>13674</v>
      </c>
      <c r="G30" s="27">
        <v>3576</v>
      </c>
      <c r="H30" s="34">
        <v>92892</v>
      </c>
      <c r="I30" s="4">
        <v>283</v>
      </c>
      <c r="J30" s="23">
        <f t="shared" si="2"/>
        <v>93175</v>
      </c>
    </row>
    <row r="31" spans="1:10" x14ac:dyDescent="0.25">
      <c r="A31" s="18" t="s">
        <v>24</v>
      </c>
      <c r="B31" s="4">
        <v>22506</v>
      </c>
      <c r="C31" s="2">
        <v>7598</v>
      </c>
      <c r="D31" s="2">
        <v>1323</v>
      </c>
      <c r="E31" s="2">
        <v>3450</v>
      </c>
      <c r="F31" s="2">
        <v>451</v>
      </c>
      <c r="G31" s="27">
        <v>1171</v>
      </c>
      <c r="H31" s="34">
        <v>36499</v>
      </c>
      <c r="I31" s="4">
        <v>1</v>
      </c>
      <c r="J31" s="23">
        <f t="shared" si="2"/>
        <v>36500</v>
      </c>
    </row>
    <row r="32" spans="1:10" x14ac:dyDescent="0.25">
      <c r="A32" s="18" t="s">
        <v>25</v>
      </c>
      <c r="B32" s="2">
        <v>18907</v>
      </c>
      <c r="C32" s="2">
        <v>8280</v>
      </c>
      <c r="D32" s="2">
        <v>785</v>
      </c>
      <c r="E32" s="2">
        <v>1268</v>
      </c>
      <c r="F32" s="2">
        <v>1138</v>
      </c>
      <c r="G32" s="27">
        <v>1202</v>
      </c>
      <c r="H32" s="34">
        <v>31580</v>
      </c>
      <c r="I32" s="4">
        <v>0</v>
      </c>
      <c r="J32" s="23">
        <f t="shared" si="2"/>
        <v>31580</v>
      </c>
    </row>
    <row r="33" spans="1:10" s="3" customFormat="1" ht="15.75" thickBot="1" x14ac:dyDescent="0.3">
      <c r="A33" s="18"/>
      <c r="B33" s="9"/>
      <c r="C33" s="10"/>
      <c r="D33" s="10"/>
      <c r="E33" s="10"/>
      <c r="F33" s="10"/>
      <c r="G33" s="29"/>
      <c r="H33" s="36" t="s">
        <v>29</v>
      </c>
      <c r="I33" s="9"/>
      <c r="J33" s="24" t="s">
        <v>29</v>
      </c>
    </row>
    <row r="34" spans="1:10" s="3" customFormat="1" ht="24.95" customHeight="1" thickBot="1" x14ac:dyDescent="0.3">
      <c r="A34" s="22" t="s">
        <v>26</v>
      </c>
      <c r="B34" s="37">
        <f>SUM(B24:B32)</f>
        <v>310611</v>
      </c>
      <c r="C34" s="37">
        <f>SUM(C24:C32)</f>
        <v>160445</v>
      </c>
      <c r="D34" s="37">
        <f t="shared" ref="D34:G34" si="3">SUM(D24:D32)</f>
        <v>45685</v>
      </c>
      <c r="E34" s="37">
        <f t="shared" si="3"/>
        <v>35001</v>
      </c>
      <c r="F34" s="37">
        <f t="shared" si="3"/>
        <v>90231</v>
      </c>
      <c r="G34" s="37">
        <f t="shared" si="3"/>
        <v>55852</v>
      </c>
      <c r="H34" s="31">
        <f>SUM(H24:H32)</f>
        <v>697825</v>
      </c>
      <c r="I34" s="37">
        <f>SUM(I24:I32)</f>
        <v>6518</v>
      </c>
      <c r="J34" s="39">
        <f>SUM(J24:J32)</f>
        <v>704343</v>
      </c>
    </row>
    <row r="35" spans="1:10" ht="30" customHeight="1" thickTop="1" thickBot="1" x14ac:dyDescent="0.3">
      <c r="A35" s="11" t="s">
        <v>27</v>
      </c>
      <c r="B35" s="40">
        <f>SUM(B23,B34)</f>
        <v>355275</v>
      </c>
      <c r="C35" s="40">
        <f t="shared" ref="C35:J35" si="4">SUM(C23,C34)</f>
        <v>196006</v>
      </c>
      <c r="D35" s="40">
        <f t="shared" si="4"/>
        <v>60103</v>
      </c>
      <c r="E35" s="40">
        <f t="shared" si="4"/>
        <v>39246</v>
      </c>
      <c r="F35" s="40">
        <f t="shared" si="4"/>
        <v>105155</v>
      </c>
      <c r="G35" s="41">
        <f t="shared" si="4"/>
        <v>69701</v>
      </c>
      <c r="H35" s="32">
        <f t="shared" si="4"/>
        <v>825486</v>
      </c>
      <c r="I35" s="40">
        <f t="shared" si="4"/>
        <v>7778</v>
      </c>
      <c r="J35" s="42">
        <f t="shared" si="4"/>
        <v>833264</v>
      </c>
    </row>
    <row r="36" spans="1:10" ht="33" customHeight="1" thickTop="1" x14ac:dyDescent="0.25">
      <c r="B36" s="12"/>
    </row>
    <row r="38" spans="1:10" x14ac:dyDescent="0.25">
      <c r="I38" s="3"/>
      <c r="J38" s="3"/>
    </row>
    <row r="39" spans="1:10" x14ac:dyDescent="0.25">
      <c r="I39" s="3"/>
      <c r="J39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39"/>
  <sheetViews>
    <sheetView topLeftCell="A7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44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H7+I7</f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32" si="0">SUM(B8:G8)</f>
        <v>4</v>
      </c>
      <c r="I8" s="4">
        <v>0</v>
      </c>
      <c r="J8" s="19">
        <f>H8+I8</f>
        <v>4</v>
      </c>
    </row>
    <row r="9" spans="1:10" x14ac:dyDescent="0.25">
      <c r="A9" s="18" t="s">
        <v>3</v>
      </c>
      <c r="B9" s="4">
        <v>59</v>
      </c>
      <c r="C9" s="2">
        <v>36</v>
      </c>
      <c r="D9" s="2">
        <v>14</v>
      </c>
      <c r="E9" s="2">
        <v>6</v>
      </c>
      <c r="F9" s="2">
        <v>40</v>
      </c>
      <c r="G9" s="27">
        <v>27</v>
      </c>
      <c r="H9" s="34">
        <f t="shared" si="0"/>
        <v>182</v>
      </c>
      <c r="I9" s="4">
        <v>0</v>
      </c>
      <c r="J9" s="19">
        <f t="shared" ref="J9:J21" si="1">H9+I9</f>
        <v>182</v>
      </c>
    </row>
    <row r="10" spans="1:10" x14ac:dyDescent="0.25">
      <c r="A10" s="18" t="s">
        <v>4</v>
      </c>
      <c r="B10" s="4">
        <v>156</v>
      </c>
      <c r="C10" s="2">
        <v>70</v>
      </c>
      <c r="D10" s="2">
        <v>30</v>
      </c>
      <c r="E10" s="2">
        <v>6</v>
      </c>
      <c r="F10" s="2">
        <v>110</v>
      </c>
      <c r="G10" s="27">
        <v>60</v>
      </c>
      <c r="H10" s="34">
        <f t="shared" si="0"/>
        <v>432</v>
      </c>
      <c r="I10" s="4">
        <v>1</v>
      </c>
      <c r="J10" s="19">
        <f t="shared" si="1"/>
        <v>433</v>
      </c>
    </row>
    <row r="11" spans="1:10" x14ac:dyDescent="0.25">
      <c r="A11" s="18" t="s">
        <v>5</v>
      </c>
      <c r="B11" s="4">
        <v>1531</v>
      </c>
      <c r="C11" s="2">
        <v>1811</v>
      </c>
      <c r="D11" s="2">
        <v>1245</v>
      </c>
      <c r="E11" s="2">
        <v>321</v>
      </c>
      <c r="F11" s="2">
        <v>1026</v>
      </c>
      <c r="G11" s="27">
        <v>1090</v>
      </c>
      <c r="H11" s="34">
        <f t="shared" si="0"/>
        <v>7024</v>
      </c>
      <c r="I11" s="4">
        <v>41</v>
      </c>
      <c r="J11" s="19">
        <f t="shared" si="1"/>
        <v>7065</v>
      </c>
    </row>
    <row r="12" spans="1:10" x14ac:dyDescent="0.25">
      <c r="A12" s="18" t="s">
        <v>6</v>
      </c>
      <c r="B12" s="4">
        <v>3728</v>
      </c>
      <c r="C12" s="2">
        <v>5548</v>
      </c>
      <c r="D12" s="2">
        <v>3123</v>
      </c>
      <c r="E12" s="2">
        <v>852</v>
      </c>
      <c r="F12" s="2">
        <v>3934</v>
      </c>
      <c r="G12" s="27">
        <v>4047</v>
      </c>
      <c r="H12" s="34">
        <f t="shared" si="0"/>
        <v>21232</v>
      </c>
      <c r="I12" s="4">
        <v>185</v>
      </c>
      <c r="J12" s="19">
        <f t="shared" si="1"/>
        <v>21417</v>
      </c>
    </row>
    <row r="13" spans="1:10" x14ac:dyDescent="0.25">
      <c r="A13" s="18" t="s">
        <v>7</v>
      </c>
      <c r="B13" s="4">
        <v>6615</v>
      </c>
      <c r="C13" s="2">
        <v>6591</v>
      </c>
      <c r="D13" s="2">
        <v>4492</v>
      </c>
      <c r="E13" s="2">
        <v>1076</v>
      </c>
      <c r="F13" s="2">
        <v>4146</v>
      </c>
      <c r="G13" s="27">
        <v>4837</v>
      </c>
      <c r="H13" s="34">
        <f t="shared" si="0"/>
        <v>27757</v>
      </c>
      <c r="I13" s="4">
        <v>292</v>
      </c>
      <c r="J13" s="19">
        <f t="shared" si="1"/>
        <v>28049</v>
      </c>
    </row>
    <row r="14" spans="1:10" x14ac:dyDescent="0.25">
      <c r="A14" s="18" t="s">
        <v>8</v>
      </c>
      <c r="B14" s="4">
        <v>10640</v>
      </c>
      <c r="C14" s="2">
        <v>10474</v>
      </c>
      <c r="D14" s="2">
        <v>3848</v>
      </c>
      <c r="E14" s="2">
        <v>1194</v>
      </c>
      <c r="F14" s="2">
        <v>3375</v>
      </c>
      <c r="G14" s="27">
        <v>2828</v>
      </c>
      <c r="H14" s="34">
        <f t="shared" si="0"/>
        <v>32359</v>
      </c>
      <c r="I14" s="4">
        <v>455</v>
      </c>
      <c r="J14" s="19">
        <f t="shared" si="1"/>
        <v>32814</v>
      </c>
    </row>
    <row r="15" spans="1:10" x14ac:dyDescent="0.25">
      <c r="A15" s="18" t="s">
        <v>9</v>
      </c>
      <c r="B15" s="4">
        <v>8798</v>
      </c>
      <c r="C15" s="2">
        <v>4816</v>
      </c>
      <c r="D15" s="2">
        <v>994</v>
      </c>
      <c r="E15" s="2">
        <v>226</v>
      </c>
      <c r="F15" s="2">
        <v>1174</v>
      </c>
      <c r="G15" s="27">
        <v>509</v>
      </c>
      <c r="H15" s="34">
        <f t="shared" si="0"/>
        <v>16517</v>
      </c>
      <c r="I15" s="4">
        <v>110</v>
      </c>
      <c r="J15" s="19">
        <f t="shared" si="1"/>
        <v>16627</v>
      </c>
    </row>
    <row r="16" spans="1:10" x14ac:dyDescent="0.25">
      <c r="A16" s="18" t="s">
        <v>10</v>
      </c>
      <c r="B16" s="4">
        <v>4852</v>
      </c>
      <c r="C16" s="2">
        <v>2757</v>
      </c>
      <c r="D16" s="2">
        <v>613</v>
      </c>
      <c r="E16" s="2">
        <v>285</v>
      </c>
      <c r="F16" s="2">
        <v>1124</v>
      </c>
      <c r="G16" s="27">
        <v>389</v>
      </c>
      <c r="H16" s="34">
        <f t="shared" si="0"/>
        <v>10020</v>
      </c>
      <c r="I16" s="4">
        <v>29</v>
      </c>
      <c r="J16" s="19">
        <f t="shared" si="1"/>
        <v>10049</v>
      </c>
    </row>
    <row r="17" spans="1:10" x14ac:dyDescent="0.25">
      <c r="A17" s="18" t="s">
        <v>11</v>
      </c>
      <c r="B17" s="4">
        <v>381</v>
      </c>
      <c r="C17" s="2">
        <v>90</v>
      </c>
      <c r="D17" s="2">
        <v>2</v>
      </c>
      <c r="E17" s="2">
        <v>11</v>
      </c>
      <c r="F17" s="2">
        <v>0</v>
      </c>
      <c r="G17" s="27">
        <v>0</v>
      </c>
      <c r="H17" s="34">
        <f t="shared" si="0"/>
        <v>484</v>
      </c>
      <c r="I17" s="4">
        <v>0</v>
      </c>
      <c r="J17" s="19">
        <f t="shared" si="1"/>
        <v>484</v>
      </c>
    </row>
    <row r="18" spans="1:10" x14ac:dyDescent="0.25">
      <c r="A18" s="18" t="s">
        <v>12</v>
      </c>
      <c r="B18" s="4">
        <v>1501</v>
      </c>
      <c r="C18" s="2">
        <v>598</v>
      </c>
      <c r="D18" s="2">
        <v>9</v>
      </c>
      <c r="E18" s="2">
        <v>44</v>
      </c>
      <c r="F18" s="2">
        <v>0</v>
      </c>
      <c r="G18" s="27">
        <v>0</v>
      </c>
      <c r="H18" s="34">
        <f t="shared" si="0"/>
        <v>2152</v>
      </c>
      <c r="I18" s="4">
        <v>27</v>
      </c>
      <c r="J18" s="19">
        <f t="shared" si="1"/>
        <v>2179</v>
      </c>
    </row>
    <row r="19" spans="1:10" x14ac:dyDescent="0.25">
      <c r="A19" s="18" t="s">
        <v>13</v>
      </c>
      <c r="B19" s="4">
        <v>1996</v>
      </c>
      <c r="C19" s="2">
        <v>667</v>
      </c>
      <c r="D19" s="2">
        <v>32</v>
      </c>
      <c r="E19" s="2">
        <v>75</v>
      </c>
      <c r="F19" s="2">
        <v>0</v>
      </c>
      <c r="G19" s="27">
        <v>0</v>
      </c>
      <c r="H19" s="34">
        <f t="shared" si="0"/>
        <v>2770</v>
      </c>
      <c r="I19" s="4">
        <v>43</v>
      </c>
      <c r="J19" s="19">
        <f t="shared" si="1"/>
        <v>2813</v>
      </c>
    </row>
    <row r="20" spans="1:10" x14ac:dyDescent="0.25">
      <c r="A20" s="18" t="s">
        <v>14</v>
      </c>
      <c r="B20" s="4">
        <v>3568</v>
      </c>
      <c r="C20" s="2">
        <v>1517</v>
      </c>
      <c r="D20" s="2">
        <v>42</v>
      </c>
      <c r="E20" s="2">
        <v>102</v>
      </c>
      <c r="F20" s="2">
        <v>0</v>
      </c>
      <c r="G20" s="27">
        <v>0</v>
      </c>
      <c r="H20" s="34">
        <f t="shared" si="0"/>
        <v>5229</v>
      </c>
      <c r="I20" s="4">
        <v>70</v>
      </c>
      <c r="J20" s="19">
        <f t="shared" si="1"/>
        <v>5299</v>
      </c>
    </row>
    <row r="21" spans="1:10" x14ac:dyDescent="0.25">
      <c r="A21" s="18" t="s">
        <v>15</v>
      </c>
      <c r="B21" s="4">
        <v>1057</v>
      </c>
      <c r="C21" s="2">
        <v>411</v>
      </c>
      <c r="D21" s="2">
        <v>0</v>
      </c>
      <c r="E21" s="2">
        <v>37</v>
      </c>
      <c r="F21" s="2">
        <v>0</v>
      </c>
      <c r="G21" s="27">
        <v>0</v>
      </c>
      <c r="H21" s="34">
        <f t="shared" si="0"/>
        <v>1505</v>
      </c>
      <c r="I21" s="4">
        <v>0</v>
      </c>
      <c r="J21" s="19">
        <f t="shared" si="1"/>
        <v>1505</v>
      </c>
    </row>
    <row r="22" spans="1:10" ht="15.75" thickBot="1" x14ac:dyDescent="0.3">
      <c r="A22" s="20"/>
      <c r="B22" s="7"/>
      <c r="C22" s="8"/>
      <c r="D22" s="8"/>
      <c r="E22" s="8"/>
      <c r="F22" s="8"/>
      <c r="G22" s="28"/>
      <c r="H22" s="35"/>
      <c r="I22" s="7"/>
      <c r="J22" s="21"/>
    </row>
    <row r="23" spans="1:10" ht="24.95" customHeight="1" thickBot="1" x14ac:dyDescent="0.3">
      <c r="A23" s="22" t="s">
        <v>16</v>
      </c>
      <c r="B23" s="37">
        <f>SUM(B7:B22)</f>
        <v>44883</v>
      </c>
      <c r="C23" s="37">
        <f t="shared" ref="C23:J23" si="2">SUM(C7:C22)</f>
        <v>35386</v>
      </c>
      <c r="D23" s="37">
        <f t="shared" si="2"/>
        <v>14444</v>
      </c>
      <c r="E23" s="37">
        <f t="shared" si="2"/>
        <v>4235</v>
      </c>
      <c r="F23" s="37">
        <f t="shared" si="2"/>
        <v>14933</v>
      </c>
      <c r="G23" s="38">
        <f t="shared" si="2"/>
        <v>13787</v>
      </c>
      <c r="H23" s="31">
        <f>SUM(H7:H21)</f>
        <v>127668</v>
      </c>
      <c r="I23" s="37">
        <f t="shared" si="2"/>
        <v>1253</v>
      </c>
      <c r="J23" s="48">
        <f t="shared" si="2"/>
        <v>128921</v>
      </c>
    </row>
    <row r="24" spans="1:10" x14ac:dyDescent="0.25">
      <c r="A24" s="18" t="s">
        <v>17</v>
      </c>
      <c r="B24" s="5">
        <v>2095</v>
      </c>
      <c r="C24" s="6">
        <v>1539</v>
      </c>
      <c r="D24" s="6">
        <v>355</v>
      </c>
      <c r="E24" s="6">
        <v>176</v>
      </c>
      <c r="F24" s="6">
        <v>1904</v>
      </c>
      <c r="G24" s="26">
        <v>986</v>
      </c>
      <c r="H24" s="34">
        <f t="shared" si="0"/>
        <v>7055</v>
      </c>
      <c r="I24" s="5">
        <v>74</v>
      </c>
      <c r="J24" s="23">
        <f>H24+I24</f>
        <v>7129</v>
      </c>
    </row>
    <row r="25" spans="1:10" x14ac:dyDescent="0.25">
      <c r="A25" s="18" t="s">
        <v>18</v>
      </c>
      <c r="B25" s="4">
        <v>7677</v>
      </c>
      <c r="C25" s="2">
        <v>5457</v>
      </c>
      <c r="D25" s="2">
        <v>944</v>
      </c>
      <c r="E25" s="2">
        <v>526</v>
      </c>
      <c r="F25" s="2">
        <v>4553</v>
      </c>
      <c r="G25" s="27">
        <v>3061</v>
      </c>
      <c r="H25" s="34">
        <f t="shared" si="0"/>
        <v>22218</v>
      </c>
      <c r="I25" s="4">
        <v>127</v>
      </c>
      <c r="J25" s="23">
        <f t="shared" ref="J25:J32" si="3">H25+I25</f>
        <v>22345</v>
      </c>
    </row>
    <row r="26" spans="1:10" x14ac:dyDescent="0.25">
      <c r="A26" s="18" t="s">
        <v>19</v>
      </c>
      <c r="B26" s="4">
        <v>22407</v>
      </c>
      <c r="C26" s="2">
        <v>15727</v>
      </c>
      <c r="D26" s="2">
        <v>3698</v>
      </c>
      <c r="E26" s="2">
        <v>1112</v>
      </c>
      <c r="F26" s="2">
        <v>15177</v>
      </c>
      <c r="G26" s="27">
        <v>8511</v>
      </c>
      <c r="H26" s="34">
        <f t="shared" si="0"/>
        <v>66632</v>
      </c>
      <c r="I26" s="4">
        <v>700</v>
      </c>
      <c r="J26" s="23">
        <f t="shared" si="3"/>
        <v>67332</v>
      </c>
    </row>
    <row r="27" spans="1:10" x14ac:dyDescent="0.25">
      <c r="A27" s="18" t="s">
        <v>20</v>
      </c>
      <c r="B27" s="4">
        <v>40747</v>
      </c>
      <c r="C27" s="2">
        <v>19559</v>
      </c>
      <c r="D27" s="2">
        <v>11117</v>
      </c>
      <c r="E27" s="2">
        <v>1963</v>
      </c>
      <c r="F27" s="2">
        <v>18898</v>
      </c>
      <c r="G27" s="27">
        <v>12327</v>
      </c>
      <c r="H27" s="34">
        <f t="shared" si="0"/>
        <v>104611</v>
      </c>
      <c r="I27" s="4">
        <v>1320</v>
      </c>
      <c r="J27" s="23">
        <f t="shared" si="3"/>
        <v>105931</v>
      </c>
    </row>
    <row r="28" spans="1:10" x14ac:dyDescent="0.25">
      <c r="A28" s="18" t="s">
        <v>21</v>
      </c>
      <c r="B28" s="4">
        <v>64937</v>
      </c>
      <c r="C28" s="2">
        <v>27236</v>
      </c>
      <c r="D28" s="2">
        <v>13962</v>
      </c>
      <c r="E28" s="2">
        <v>4622</v>
      </c>
      <c r="F28" s="2">
        <v>18469</v>
      </c>
      <c r="G28" s="27">
        <v>9340</v>
      </c>
      <c r="H28" s="34">
        <f t="shared" si="0"/>
        <v>138566</v>
      </c>
      <c r="I28" s="4">
        <v>1760</v>
      </c>
      <c r="J28" s="23">
        <f t="shared" si="3"/>
        <v>140326</v>
      </c>
    </row>
    <row r="29" spans="1:10" x14ac:dyDescent="0.25">
      <c r="A29" s="18" t="s">
        <v>22</v>
      </c>
      <c r="B29" s="4">
        <v>92447</v>
      </c>
      <c r="C29" s="2">
        <v>58150</v>
      </c>
      <c r="D29" s="2">
        <v>8335</v>
      </c>
      <c r="E29" s="2">
        <v>7136</v>
      </c>
      <c r="F29" s="2">
        <v>16031</v>
      </c>
      <c r="G29" s="27">
        <v>15879</v>
      </c>
      <c r="H29" s="34">
        <f t="shared" si="0"/>
        <v>197978</v>
      </c>
      <c r="I29" s="4">
        <v>2245</v>
      </c>
      <c r="J29" s="23">
        <f t="shared" si="3"/>
        <v>200223</v>
      </c>
    </row>
    <row r="30" spans="1:10" x14ac:dyDescent="0.25">
      <c r="A30" s="18" t="s">
        <v>23</v>
      </c>
      <c r="B30" s="4">
        <v>39031</v>
      </c>
      <c r="C30" s="2">
        <v>16737</v>
      </c>
      <c r="D30" s="2">
        <v>4989</v>
      </c>
      <c r="E30" s="2">
        <v>14717</v>
      </c>
      <c r="F30" s="2">
        <v>13905</v>
      </c>
      <c r="G30" s="27">
        <v>3570</v>
      </c>
      <c r="H30" s="34">
        <f t="shared" si="0"/>
        <v>92949</v>
      </c>
      <c r="I30" s="4">
        <v>293</v>
      </c>
      <c r="J30" s="23">
        <f t="shared" si="3"/>
        <v>93242</v>
      </c>
    </row>
    <row r="31" spans="1:10" x14ac:dyDescent="0.25">
      <c r="A31" s="18" t="s">
        <v>24</v>
      </c>
      <c r="B31" s="4">
        <v>22235</v>
      </c>
      <c r="C31" s="2">
        <v>7431</v>
      </c>
      <c r="D31" s="2">
        <v>1280</v>
      </c>
      <c r="E31" s="2">
        <v>3649</v>
      </c>
      <c r="F31" s="2">
        <v>441</v>
      </c>
      <c r="G31" s="27">
        <v>1124</v>
      </c>
      <c r="H31" s="34">
        <f t="shared" si="0"/>
        <v>36160</v>
      </c>
      <c r="I31" s="4">
        <v>5</v>
      </c>
      <c r="J31" s="23">
        <f t="shared" si="3"/>
        <v>36165</v>
      </c>
    </row>
    <row r="32" spans="1:10" x14ac:dyDescent="0.25">
      <c r="A32" s="18" t="s">
        <v>25</v>
      </c>
      <c r="B32" s="2">
        <v>18441</v>
      </c>
      <c r="C32" s="2">
        <v>8471</v>
      </c>
      <c r="D32" s="2">
        <v>803</v>
      </c>
      <c r="E32" s="2">
        <v>1577</v>
      </c>
      <c r="F32" s="2">
        <v>853</v>
      </c>
      <c r="G32" s="27">
        <v>1124</v>
      </c>
      <c r="H32" s="34">
        <f t="shared" si="0"/>
        <v>31269</v>
      </c>
      <c r="I32" s="4">
        <v>0</v>
      </c>
      <c r="J32" s="23">
        <f t="shared" si="3"/>
        <v>31269</v>
      </c>
    </row>
    <row r="33" spans="1:10" s="3" customFormat="1" ht="15.75" thickBot="1" x14ac:dyDescent="0.3">
      <c r="A33" s="18"/>
      <c r="B33" s="9"/>
      <c r="C33" s="10"/>
      <c r="D33" s="10"/>
      <c r="E33" s="10"/>
      <c r="F33" s="10"/>
      <c r="G33" s="29"/>
      <c r="H33" s="36" t="s">
        <v>29</v>
      </c>
      <c r="I33" s="9"/>
      <c r="J33" s="24" t="s">
        <v>29</v>
      </c>
    </row>
    <row r="34" spans="1:10" s="3" customFormat="1" ht="24.95" customHeight="1" thickBot="1" x14ac:dyDescent="0.3">
      <c r="A34" s="22" t="s">
        <v>26</v>
      </c>
      <c r="B34" s="37">
        <f>SUM(B24:B32)</f>
        <v>310017</v>
      </c>
      <c r="C34" s="37">
        <f>SUM(C24:C32)</f>
        <v>160307</v>
      </c>
      <c r="D34" s="37">
        <f t="shared" ref="D34:G34" si="4">SUM(D24:D32)</f>
        <v>45483</v>
      </c>
      <c r="E34" s="37">
        <f t="shared" si="4"/>
        <v>35478</v>
      </c>
      <c r="F34" s="37">
        <f t="shared" si="4"/>
        <v>90231</v>
      </c>
      <c r="G34" s="37">
        <f t="shared" si="4"/>
        <v>55922</v>
      </c>
      <c r="H34" s="31">
        <f>SUM(H24:H32)</f>
        <v>697438</v>
      </c>
      <c r="I34" s="37">
        <f>SUM(I24:I32)</f>
        <v>6524</v>
      </c>
      <c r="J34" s="39">
        <f>SUM(J24:J32)</f>
        <v>703962</v>
      </c>
    </row>
    <row r="35" spans="1:10" ht="30" customHeight="1" thickTop="1" thickBot="1" x14ac:dyDescent="0.3">
      <c r="A35" s="11" t="s">
        <v>27</v>
      </c>
      <c r="B35" s="40">
        <f>SUM(B23,B34)</f>
        <v>354900</v>
      </c>
      <c r="C35" s="40">
        <f t="shared" ref="C35:J35" si="5">SUM(C23,C34)</f>
        <v>195693</v>
      </c>
      <c r="D35" s="40">
        <f t="shared" si="5"/>
        <v>59927</v>
      </c>
      <c r="E35" s="40">
        <f t="shared" si="5"/>
        <v>39713</v>
      </c>
      <c r="F35" s="40">
        <f t="shared" si="5"/>
        <v>105164</v>
      </c>
      <c r="G35" s="41">
        <f t="shared" si="5"/>
        <v>69709</v>
      </c>
      <c r="H35" s="32">
        <f t="shared" si="5"/>
        <v>825106</v>
      </c>
      <c r="I35" s="40">
        <f t="shared" si="5"/>
        <v>7777</v>
      </c>
      <c r="J35" s="42">
        <f t="shared" si="5"/>
        <v>832883</v>
      </c>
    </row>
    <row r="36" spans="1:10" ht="33" customHeight="1" thickTop="1" x14ac:dyDescent="0.25">
      <c r="B36" s="12"/>
    </row>
    <row r="38" spans="1:10" x14ac:dyDescent="0.25">
      <c r="I38" s="3"/>
      <c r="J38" s="3"/>
    </row>
    <row r="39" spans="1:10" x14ac:dyDescent="0.25">
      <c r="I39" s="3"/>
      <c r="J39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39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41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f>H7+I7</f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f>H8+I8</f>
        <v>4</v>
      </c>
    </row>
    <row r="9" spans="1:10" x14ac:dyDescent="0.25">
      <c r="A9" s="18" t="s">
        <v>3</v>
      </c>
      <c r="B9" s="4">
        <v>57</v>
      </c>
      <c r="C9" s="2">
        <v>33</v>
      </c>
      <c r="D9" s="2">
        <v>14</v>
      </c>
      <c r="E9" s="2">
        <v>5</v>
      </c>
      <c r="F9" s="2">
        <v>39</v>
      </c>
      <c r="G9" s="27">
        <v>26</v>
      </c>
      <c r="H9" s="34">
        <v>174</v>
      </c>
      <c r="I9" s="4">
        <v>1</v>
      </c>
      <c r="J9" s="19">
        <f t="shared" ref="J9:J21" si="0">H9+I9</f>
        <v>175</v>
      </c>
    </row>
    <row r="10" spans="1:10" x14ac:dyDescent="0.25">
      <c r="A10" s="18" t="s">
        <v>4</v>
      </c>
      <c r="B10" s="4">
        <v>157</v>
      </c>
      <c r="C10" s="2">
        <v>70</v>
      </c>
      <c r="D10" s="2">
        <v>30</v>
      </c>
      <c r="E10" s="2">
        <v>7</v>
      </c>
      <c r="F10" s="2">
        <v>112</v>
      </c>
      <c r="G10" s="27">
        <v>58</v>
      </c>
      <c r="H10" s="34">
        <v>434</v>
      </c>
      <c r="I10" s="4">
        <v>1</v>
      </c>
      <c r="J10" s="19">
        <f t="shared" si="0"/>
        <v>435</v>
      </c>
    </row>
    <row r="11" spans="1:10" x14ac:dyDescent="0.25">
      <c r="A11" s="18" t="s">
        <v>5</v>
      </c>
      <c r="B11" s="4">
        <v>1523</v>
      </c>
      <c r="C11" s="2">
        <v>1824</v>
      </c>
      <c r="D11" s="2">
        <v>1254</v>
      </c>
      <c r="E11" s="2">
        <v>317</v>
      </c>
      <c r="F11" s="2">
        <v>1017</v>
      </c>
      <c r="G11" s="27">
        <v>1098</v>
      </c>
      <c r="H11" s="34">
        <v>7033</v>
      </c>
      <c r="I11" s="4">
        <v>55</v>
      </c>
      <c r="J11" s="19">
        <f t="shared" si="0"/>
        <v>7088</v>
      </c>
    </row>
    <row r="12" spans="1:10" x14ac:dyDescent="0.25">
      <c r="A12" s="18" t="s">
        <v>6</v>
      </c>
      <c r="B12" s="4">
        <v>3711</v>
      </c>
      <c r="C12" s="2">
        <v>5496</v>
      </c>
      <c r="D12" s="2">
        <v>3150</v>
      </c>
      <c r="E12" s="2">
        <v>841</v>
      </c>
      <c r="F12" s="2">
        <v>4015</v>
      </c>
      <c r="G12" s="27">
        <v>3985</v>
      </c>
      <c r="H12" s="34">
        <v>21198</v>
      </c>
      <c r="I12" s="4">
        <v>160</v>
      </c>
      <c r="J12" s="19">
        <f t="shared" si="0"/>
        <v>21358</v>
      </c>
    </row>
    <row r="13" spans="1:10" x14ac:dyDescent="0.25">
      <c r="A13" s="18" t="s">
        <v>7</v>
      </c>
      <c r="B13" s="4">
        <v>6630</v>
      </c>
      <c r="C13" s="2">
        <v>6762</v>
      </c>
      <c r="D13" s="2">
        <v>4533</v>
      </c>
      <c r="E13" s="2">
        <v>1082</v>
      </c>
      <c r="F13" s="2">
        <v>4166</v>
      </c>
      <c r="G13" s="27">
        <v>4917</v>
      </c>
      <c r="H13" s="34">
        <v>28090</v>
      </c>
      <c r="I13" s="4">
        <v>306</v>
      </c>
      <c r="J13" s="19">
        <f t="shared" si="0"/>
        <v>28396</v>
      </c>
    </row>
    <row r="14" spans="1:10" x14ac:dyDescent="0.25">
      <c r="A14" s="18" t="s">
        <v>8</v>
      </c>
      <c r="B14" s="4">
        <v>10539</v>
      </c>
      <c r="C14" s="2">
        <v>10303</v>
      </c>
      <c r="D14" s="2">
        <v>3798</v>
      </c>
      <c r="E14" s="2">
        <v>1205</v>
      </c>
      <c r="F14" s="2">
        <v>3260</v>
      </c>
      <c r="G14" s="27">
        <v>2776</v>
      </c>
      <c r="H14" s="34">
        <v>31881</v>
      </c>
      <c r="I14" s="4">
        <v>441</v>
      </c>
      <c r="J14" s="19">
        <f t="shared" si="0"/>
        <v>32322</v>
      </c>
    </row>
    <row r="15" spans="1:10" x14ac:dyDescent="0.25">
      <c r="A15" s="18" t="s">
        <v>9</v>
      </c>
      <c r="B15" s="4">
        <v>8925</v>
      </c>
      <c r="C15" s="2">
        <v>4927</v>
      </c>
      <c r="D15" s="2">
        <v>994</v>
      </c>
      <c r="E15" s="2">
        <v>225</v>
      </c>
      <c r="F15" s="2">
        <v>1181</v>
      </c>
      <c r="G15" s="27">
        <v>525</v>
      </c>
      <c r="H15" s="34">
        <v>16777</v>
      </c>
      <c r="I15" s="4">
        <v>81</v>
      </c>
      <c r="J15" s="19">
        <f t="shared" si="0"/>
        <v>16858</v>
      </c>
    </row>
    <row r="16" spans="1:10" x14ac:dyDescent="0.25">
      <c r="A16" s="18" t="s">
        <v>10</v>
      </c>
      <c r="B16" s="4">
        <v>4911</v>
      </c>
      <c r="C16" s="2">
        <v>2694</v>
      </c>
      <c r="D16" s="2">
        <v>603</v>
      </c>
      <c r="E16" s="2">
        <v>293</v>
      </c>
      <c r="F16" s="2">
        <v>1167</v>
      </c>
      <c r="G16" s="27">
        <v>376</v>
      </c>
      <c r="H16" s="34">
        <v>10044</v>
      </c>
      <c r="I16" s="4">
        <v>29</v>
      </c>
      <c r="J16" s="19">
        <f t="shared" si="0"/>
        <v>10073</v>
      </c>
    </row>
    <row r="17" spans="1:10" x14ac:dyDescent="0.25">
      <c r="A17" s="18" t="s">
        <v>11</v>
      </c>
      <c r="B17" s="4">
        <v>375</v>
      </c>
      <c r="C17" s="2">
        <v>96</v>
      </c>
      <c r="D17" s="2">
        <v>1</v>
      </c>
      <c r="E17" s="2">
        <v>11</v>
      </c>
      <c r="F17" s="2">
        <v>0</v>
      </c>
      <c r="G17" s="27">
        <v>0</v>
      </c>
      <c r="H17" s="34">
        <v>483</v>
      </c>
      <c r="I17" s="4">
        <v>0</v>
      </c>
      <c r="J17" s="19">
        <f t="shared" si="0"/>
        <v>483</v>
      </c>
    </row>
    <row r="18" spans="1:10" x14ac:dyDescent="0.25">
      <c r="A18" s="18" t="s">
        <v>12</v>
      </c>
      <c r="B18" s="4">
        <v>1488</v>
      </c>
      <c r="C18" s="2">
        <v>593</v>
      </c>
      <c r="D18" s="2">
        <v>9</v>
      </c>
      <c r="E18" s="2">
        <v>47</v>
      </c>
      <c r="F18" s="2">
        <v>0</v>
      </c>
      <c r="G18" s="27">
        <v>0</v>
      </c>
      <c r="H18" s="34">
        <v>2137</v>
      </c>
      <c r="I18" s="4">
        <v>25</v>
      </c>
      <c r="J18" s="19">
        <f t="shared" si="0"/>
        <v>2162</v>
      </c>
    </row>
    <row r="19" spans="1:10" x14ac:dyDescent="0.25">
      <c r="A19" s="18" t="s">
        <v>13</v>
      </c>
      <c r="B19" s="4">
        <v>1985</v>
      </c>
      <c r="C19" s="2">
        <v>694</v>
      </c>
      <c r="D19" s="2">
        <v>32</v>
      </c>
      <c r="E19" s="2">
        <v>73</v>
      </c>
      <c r="F19" s="2">
        <v>0</v>
      </c>
      <c r="G19" s="27">
        <v>0</v>
      </c>
      <c r="H19" s="34">
        <v>2784</v>
      </c>
      <c r="I19" s="4">
        <v>52</v>
      </c>
      <c r="J19" s="19">
        <f t="shared" si="0"/>
        <v>2836</v>
      </c>
    </row>
    <row r="20" spans="1:10" x14ac:dyDescent="0.25">
      <c r="A20" s="18" t="s">
        <v>14</v>
      </c>
      <c r="B20" s="4">
        <v>3615</v>
      </c>
      <c r="C20" s="2">
        <v>1486</v>
      </c>
      <c r="D20" s="2">
        <v>41</v>
      </c>
      <c r="E20" s="2">
        <v>100</v>
      </c>
      <c r="F20" s="2">
        <v>0</v>
      </c>
      <c r="G20" s="27">
        <v>0</v>
      </c>
      <c r="H20" s="34">
        <v>5242</v>
      </c>
      <c r="I20" s="4">
        <v>58</v>
      </c>
      <c r="J20" s="19">
        <f t="shared" si="0"/>
        <v>5300</v>
      </c>
    </row>
    <row r="21" spans="1:10" x14ac:dyDescent="0.25">
      <c r="A21" s="18" t="s">
        <v>15</v>
      </c>
      <c r="B21" s="4">
        <v>1048</v>
      </c>
      <c r="C21" s="2">
        <v>407</v>
      </c>
      <c r="D21" s="2">
        <v>0</v>
      </c>
      <c r="E21" s="2">
        <v>37</v>
      </c>
      <c r="F21" s="2">
        <v>0</v>
      </c>
      <c r="G21" s="27">
        <v>0</v>
      </c>
      <c r="H21" s="34">
        <v>1492</v>
      </c>
      <c r="I21" s="4">
        <v>0</v>
      </c>
      <c r="J21" s="19">
        <f t="shared" si="0"/>
        <v>1492</v>
      </c>
    </row>
    <row r="22" spans="1:10" ht="15.75" thickBot="1" x14ac:dyDescent="0.3">
      <c r="A22" s="20"/>
      <c r="B22" s="7"/>
      <c r="C22" s="8"/>
      <c r="D22" s="8"/>
      <c r="E22" s="8"/>
      <c r="F22" s="8"/>
      <c r="G22" s="28"/>
      <c r="H22" s="35"/>
      <c r="I22" s="7"/>
      <c r="J22" s="21"/>
    </row>
    <row r="23" spans="1:10" ht="24.95" customHeight="1" thickBot="1" x14ac:dyDescent="0.3">
      <c r="A23" s="22" t="s">
        <v>16</v>
      </c>
      <c r="B23" s="37">
        <f>SUM(B7:B22)</f>
        <v>44965</v>
      </c>
      <c r="C23" s="37">
        <f t="shared" ref="C23:J23" si="1">SUM(C7:C22)</f>
        <v>35385</v>
      </c>
      <c r="D23" s="37">
        <f t="shared" si="1"/>
        <v>14459</v>
      </c>
      <c r="E23" s="37">
        <f t="shared" si="1"/>
        <v>4243</v>
      </c>
      <c r="F23" s="37">
        <f t="shared" si="1"/>
        <v>14961</v>
      </c>
      <c r="G23" s="38">
        <f t="shared" si="1"/>
        <v>13761</v>
      </c>
      <c r="H23" s="31">
        <f>SUM(H7:H21)</f>
        <v>127774</v>
      </c>
      <c r="I23" s="37">
        <f t="shared" si="1"/>
        <v>1209</v>
      </c>
      <c r="J23" s="48">
        <f t="shared" si="1"/>
        <v>128983</v>
      </c>
    </row>
    <row r="24" spans="1:10" x14ac:dyDescent="0.25">
      <c r="A24" s="18" t="s">
        <v>17</v>
      </c>
      <c r="B24" s="5">
        <v>2103</v>
      </c>
      <c r="C24" s="6">
        <v>1528</v>
      </c>
      <c r="D24" s="6">
        <v>358</v>
      </c>
      <c r="E24" s="6">
        <v>179</v>
      </c>
      <c r="F24" s="6">
        <v>1910</v>
      </c>
      <c r="G24" s="26">
        <v>978</v>
      </c>
      <c r="H24" s="34">
        <v>7056</v>
      </c>
      <c r="I24" s="5">
        <v>73</v>
      </c>
      <c r="J24" s="23">
        <f>H24+I24</f>
        <v>7129</v>
      </c>
    </row>
    <row r="25" spans="1:10" x14ac:dyDescent="0.25">
      <c r="A25" s="18" t="s">
        <v>18</v>
      </c>
      <c r="B25" s="4">
        <v>7634</v>
      </c>
      <c r="C25" s="2">
        <v>5397</v>
      </c>
      <c r="D25" s="2">
        <v>942</v>
      </c>
      <c r="E25" s="2">
        <v>524</v>
      </c>
      <c r="F25" s="2">
        <v>4551</v>
      </c>
      <c r="G25" s="27">
        <v>3058</v>
      </c>
      <c r="H25" s="34">
        <v>22106</v>
      </c>
      <c r="I25" s="4">
        <v>126</v>
      </c>
      <c r="J25" s="23">
        <f t="shared" ref="J25:J32" si="2">H25+I25</f>
        <v>22232</v>
      </c>
    </row>
    <row r="26" spans="1:10" x14ac:dyDescent="0.25">
      <c r="A26" s="18" t="s">
        <v>19</v>
      </c>
      <c r="B26" s="4">
        <v>22416</v>
      </c>
      <c r="C26" s="2">
        <v>15833</v>
      </c>
      <c r="D26" s="2">
        <v>3676</v>
      </c>
      <c r="E26" s="2">
        <v>1108</v>
      </c>
      <c r="F26" s="2">
        <v>15122</v>
      </c>
      <c r="G26" s="27">
        <v>8485</v>
      </c>
      <c r="H26" s="34">
        <v>66640</v>
      </c>
      <c r="I26" s="4">
        <v>693</v>
      </c>
      <c r="J26" s="23">
        <f t="shared" si="2"/>
        <v>67333</v>
      </c>
    </row>
    <row r="27" spans="1:10" x14ac:dyDescent="0.25">
      <c r="A27" s="18" t="s">
        <v>20</v>
      </c>
      <c r="B27" s="4">
        <v>40878</v>
      </c>
      <c r="C27" s="2">
        <v>19464</v>
      </c>
      <c r="D27" s="2">
        <v>11056</v>
      </c>
      <c r="E27" s="2">
        <v>2017</v>
      </c>
      <c r="F27" s="2">
        <v>18876</v>
      </c>
      <c r="G27" s="27">
        <v>12323</v>
      </c>
      <c r="H27" s="34">
        <v>104614</v>
      </c>
      <c r="I27" s="4">
        <v>1330</v>
      </c>
      <c r="J27" s="23">
        <f t="shared" si="2"/>
        <v>105944</v>
      </c>
    </row>
    <row r="28" spans="1:10" x14ac:dyDescent="0.25">
      <c r="A28" s="18" t="s">
        <v>21</v>
      </c>
      <c r="B28" s="4">
        <v>64726</v>
      </c>
      <c r="C28" s="2">
        <v>27227</v>
      </c>
      <c r="D28" s="2">
        <v>13848</v>
      </c>
      <c r="E28" s="2">
        <v>4890</v>
      </c>
      <c r="F28" s="2">
        <v>18553</v>
      </c>
      <c r="G28" s="27">
        <v>9473</v>
      </c>
      <c r="H28" s="34">
        <v>138717</v>
      </c>
      <c r="I28" s="4">
        <v>1769</v>
      </c>
      <c r="J28" s="23">
        <f t="shared" si="2"/>
        <v>140486</v>
      </c>
    </row>
    <row r="29" spans="1:10" x14ac:dyDescent="0.25">
      <c r="A29" s="18" t="s">
        <v>22</v>
      </c>
      <c r="B29" s="4">
        <v>92115</v>
      </c>
      <c r="C29" s="2">
        <v>58315</v>
      </c>
      <c r="D29" s="2">
        <v>8257</v>
      </c>
      <c r="E29" s="2">
        <v>6800</v>
      </c>
      <c r="F29" s="2">
        <v>16210</v>
      </c>
      <c r="G29" s="27">
        <v>15972</v>
      </c>
      <c r="H29" s="34">
        <v>197669</v>
      </c>
      <c r="I29" s="4">
        <v>2225</v>
      </c>
      <c r="J29" s="23">
        <f t="shared" si="2"/>
        <v>199894</v>
      </c>
    </row>
    <row r="30" spans="1:10" x14ac:dyDescent="0.25">
      <c r="A30" s="18" t="s">
        <v>23</v>
      </c>
      <c r="B30" s="4">
        <v>39018</v>
      </c>
      <c r="C30" s="2">
        <v>16841</v>
      </c>
      <c r="D30" s="2">
        <v>5017</v>
      </c>
      <c r="E30" s="2">
        <v>14730</v>
      </c>
      <c r="F30" s="2">
        <v>14215</v>
      </c>
      <c r="G30" s="27">
        <v>3624</v>
      </c>
      <c r="H30" s="34">
        <v>93445</v>
      </c>
      <c r="I30" s="4">
        <v>290</v>
      </c>
      <c r="J30" s="23">
        <f t="shared" si="2"/>
        <v>93735</v>
      </c>
    </row>
    <row r="31" spans="1:10" x14ac:dyDescent="0.25">
      <c r="A31" s="18" t="s">
        <v>24</v>
      </c>
      <c r="B31" s="4">
        <v>22248</v>
      </c>
      <c r="C31" s="2">
        <v>7257</v>
      </c>
      <c r="D31" s="2">
        <v>1264</v>
      </c>
      <c r="E31" s="2">
        <v>3756</v>
      </c>
      <c r="F31" s="2">
        <v>444</v>
      </c>
      <c r="G31" s="27">
        <v>1061</v>
      </c>
      <c r="H31" s="34">
        <v>36030</v>
      </c>
      <c r="I31" s="4">
        <v>7</v>
      </c>
      <c r="J31" s="23">
        <f t="shared" si="2"/>
        <v>36037</v>
      </c>
    </row>
    <row r="32" spans="1:10" x14ac:dyDescent="0.25">
      <c r="A32" s="18" t="s">
        <v>25</v>
      </c>
      <c r="B32" s="2">
        <v>18022</v>
      </c>
      <c r="C32" s="2">
        <v>8345</v>
      </c>
      <c r="D32" s="2">
        <v>822</v>
      </c>
      <c r="E32" s="2">
        <v>1803</v>
      </c>
      <c r="F32" s="2">
        <v>656</v>
      </c>
      <c r="G32" s="27">
        <v>1058</v>
      </c>
      <c r="H32" s="34">
        <v>30706</v>
      </c>
      <c r="I32" s="4">
        <v>0</v>
      </c>
      <c r="J32" s="23">
        <f t="shared" si="2"/>
        <v>30706</v>
      </c>
    </row>
    <row r="33" spans="1:10" s="3" customFormat="1" ht="15.75" thickBot="1" x14ac:dyDescent="0.3">
      <c r="A33" s="18"/>
      <c r="B33" s="9"/>
      <c r="C33" s="10"/>
      <c r="D33" s="10"/>
      <c r="E33" s="10"/>
      <c r="F33" s="10"/>
      <c r="G33" s="29"/>
      <c r="H33" s="36"/>
      <c r="I33" s="9"/>
      <c r="J33" s="24" t="s">
        <v>29</v>
      </c>
    </row>
    <row r="34" spans="1:10" s="3" customFormat="1" ht="24.95" customHeight="1" thickBot="1" x14ac:dyDescent="0.3">
      <c r="A34" s="22" t="s">
        <v>26</v>
      </c>
      <c r="B34" s="37">
        <f>SUM(B24:B32)</f>
        <v>309160</v>
      </c>
      <c r="C34" s="37">
        <f>SUM(C24:C32)</f>
        <v>160207</v>
      </c>
      <c r="D34" s="37">
        <f t="shared" ref="D34:G34" si="3">SUM(D24:D32)</f>
        <v>45240</v>
      </c>
      <c r="E34" s="37">
        <f t="shared" si="3"/>
        <v>35807</v>
      </c>
      <c r="F34" s="37">
        <f t="shared" si="3"/>
        <v>90537</v>
      </c>
      <c r="G34" s="37">
        <f t="shared" si="3"/>
        <v>56032</v>
      </c>
      <c r="H34" s="31">
        <f>SUM(H24:H32)</f>
        <v>696983</v>
      </c>
      <c r="I34" s="37">
        <f>SUM(I24:I32)</f>
        <v>6513</v>
      </c>
      <c r="J34" s="39">
        <f>SUM(J24:J32)</f>
        <v>703496</v>
      </c>
    </row>
    <row r="35" spans="1:10" ht="30" customHeight="1" thickTop="1" thickBot="1" x14ac:dyDescent="0.3">
      <c r="A35" s="11" t="s">
        <v>27</v>
      </c>
      <c r="B35" s="40">
        <f>SUM(B23,B34)</f>
        <v>354125</v>
      </c>
      <c r="C35" s="40">
        <f t="shared" ref="C35:J35" si="4">SUM(C23,C34)</f>
        <v>195592</v>
      </c>
      <c r="D35" s="40">
        <f t="shared" si="4"/>
        <v>59699</v>
      </c>
      <c r="E35" s="40">
        <f t="shared" si="4"/>
        <v>40050</v>
      </c>
      <c r="F35" s="40">
        <f t="shared" si="4"/>
        <v>105498</v>
      </c>
      <c r="G35" s="41">
        <f t="shared" si="4"/>
        <v>69793</v>
      </c>
      <c r="H35" s="32">
        <f t="shared" si="4"/>
        <v>824757</v>
      </c>
      <c r="I35" s="40">
        <f t="shared" si="4"/>
        <v>7722</v>
      </c>
      <c r="J35" s="42">
        <f t="shared" si="4"/>
        <v>832479</v>
      </c>
    </row>
    <row r="36" spans="1:10" ht="33" customHeight="1" thickTop="1" x14ac:dyDescent="0.25">
      <c r="B36" s="12"/>
    </row>
    <row r="38" spans="1:10" x14ac:dyDescent="0.25">
      <c r="I38" s="3"/>
      <c r="J38" s="3"/>
    </row>
    <row r="39" spans="1:10" x14ac:dyDescent="0.25">
      <c r="I39" s="3"/>
      <c r="J39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J39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42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v>4</v>
      </c>
    </row>
    <row r="9" spans="1:10" x14ac:dyDescent="0.25">
      <c r="A9" s="18" t="s">
        <v>3</v>
      </c>
      <c r="B9" s="4">
        <v>64</v>
      </c>
      <c r="C9" s="2">
        <v>33</v>
      </c>
      <c r="D9" s="2">
        <v>15</v>
      </c>
      <c r="E9" s="2">
        <v>5</v>
      </c>
      <c r="F9" s="2">
        <v>39</v>
      </c>
      <c r="G9" s="27">
        <v>25</v>
      </c>
      <c r="H9" s="34">
        <v>181</v>
      </c>
      <c r="I9" s="4">
        <v>1</v>
      </c>
      <c r="J9" s="19">
        <v>182</v>
      </c>
    </row>
    <row r="10" spans="1:10" x14ac:dyDescent="0.25">
      <c r="A10" s="18" t="s">
        <v>4</v>
      </c>
      <c r="B10" s="4">
        <v>152</v>
      </c>
      <c r="C10" s="2">
        <v>70</v>
      </c>
      <c r="D10" s="2">
        <v>30</v>
      </c>
      <c r="E10" s="2">
        <v>7</v>
      </c>
      <c r="F10" s="2">
        <v>113</v>
      </c>
      <c r="G10" s="27">
        <v>57</v>
      </c>
      <c r="H10" s="34">
        <v>429</v>
      </c>
      <c r="I10" s="4">
        <v>1</v>
      </c>
      <c r="J10" s="19">
        <v>430</v>
      </c>
    </row>
    <row r="11" spans="1:10" x14ac:dyDescent="0.25">
      <c r="A11" s="18" t="s">
        <v>5</v>
      </c>
      <c r="B11" s="4">
        <v>1515</v>
      </c>
      <c r="C11" s="2">
        <v>1823</v>
      </c>
      <c r="D11" s="2">
        <v>1298</v>
      </c>
      <c r="E11" s="2">
        <v>315</v>
      </c>
      <c r="F11" s="2">
        <v>1013</v>
      </c>
      <c r="G11" s="27">
        <v>1101</v>
      </c>
      <c r="H11" s="34">
        <v>7065</v>
      </c>
      <c r="I11" s="4">
        <v>54</v>
      </c>
      <c r="J11" s="19">
        <v>7119</v>
      </c>
    </row>
    <row r="12" spans="1:10" x14ac:dyDescent="0.25">
      <c r="A12" s="18" t="s">
        <v>6</v>
      </c>
      <c r="B12" s="4">
        <v>3721</v>
      </c>
      <c r="C12" s="2">
        <v>5463</v>
      </c>
      <c r="D12" s="2">
        <v>3244</v>
      </c>
      <c r="E12" s="2">
        <v>835</v>
      </c>
      <c r="F12" s="2">
        <v>4001</v>
      </c>
      <c r="G12" s="27">
        <v>3992</v>
      </c>
      <c r="H12" s="34">
        <v>21256</v>
      </c>
      <c r="I12" s="4">
        <v>161</v>
      </c>
      <c r="J12" s="19">
        <v>21417</v>
      </c>
    </row>
    <row r="13" spans="1:10" x14ac:dyDescent="0.25">
      <c r="A13" s="18" t="s">
        <v>7</v>
      </c>
      <c r="B13" s="4">
        <v>6707</v>
      </c>
      <c r="C13" s="2">
        <v>6884</v>
      </c>
      <c r="D13" s="2">
        <v>4567</v>
      </c>
      <c r="E13" s="2">
        <v>1073</v>
      </c>
      <c r="F13" s="2">
        <v>4183</v>
      </c>
      <c r="G13" s="27">
        <v>4903</v>
      </c>
      <c r="H13" s="34">
        <v>28317</v>
      </c>
      <c r="I13" s="4">
        <v>307</v>
      </c>
      <c r="J13" s="19">
        <v>28624</v>
      </c>
    </row>
    <row r="14" spans="1:10" x14ac:dyDescent="0.25">
      <c r="A14" s="18" t="s">
        <v>8</v>
      </c>
      <c r="B14" s="4">
        <v>10566</v>
      </c>
      <c r="C14" s="2">
        <v>10540</v>
      </c>
      <c r="D14" s="2">
        <v>3726</v>
      </c>
      <c r="E14" s="2">
        <v>1209</v>
      </c>
      <c r="F14" s="2">
        <v>3263</v>
      </c>
      <c r="G14" s="27">
        <v>2774</v>
      </c>
      <c r="H14" s="34">
        <v>32078</v>
      </c>
      <c r="I14" s="4">
        <v>439</v>
      </c>
      <c r="J14" s="19">
        <v>32517</v>
      </c>
    </row>
    <row r="15" spans="1:10" x14ac:dyDescent="0.25">
      <c r="A15" s="18" t="s">
        <v>9</v>
      </c>
      <c r="B15" s="4">
        <v>8965</v>
      </c>
      <c r="C15" s="2">
        <v>4614</v>
      </c>
      <c r="D15" s="2">
        <v>938</v>
      </c>
      <c r="E15" s="2">
        <v>264</v>
      </c>
      <c r="F15" s="2">
        <v>1184</v>
      </c>
      <c r="G15" s="27">
        <v>550</v>
      </c>
      <c r="H15" s="34">
        <v>16515</v>
      </c>
      <c r="I15" s="4">
        <v>81</v>
      </c>
      <c r="J15" s="19">
        <v>16596</v>
      </c>
    </row>
    <row r="16" spans="1:10" x14ac:dyDescent="0.25">
      <c r="A16" s="18" t="s">
        <v>10</v>
      </c>
      <c r="B16" s="4">
        <v>4992</v>
      </c>
      <c r="C16" s="2">
        <v>2689</v>
      </c>
      <c r="D16" s="2">
        <v>598</v>
      </c>
      <c r="E16" s="2">
        <v>286</v>
      </c>
      <c r="F16" s="2">
        <v>1178</v>
      </c>
      <c r="G16" s="27">
        <v>380</v>
      </c>
      <c r="H16" s="34">
        <v>10123</v>
      </c>
      <c r="I16" s="4">
        <v>58</v>
      </c>
      <c r="J16" s="19">
        <v>10181</v>
      </c>
    </row>
    <row r="17" spans="1:10" x14ac:dyDescent="0.25">
      <c r="A17" s="18" t="s">
        <v>11</v>
      </c>
      <c r="B17" s="4">
        <v>378</v>
      </c>
      <c r="C17" s="2">
        <v>101</v>
      </c>
      <c r="D17" s="2">
        <v>1</v>
      </c>
      <c r="E17" s="2">
        <v>10</v>
      </c>
      <c r="F17" s="2">
        <v>0</v>
      </c>
      <c r="G17" s="27">
        <v>0</v>
      </c>
      <c r="H17" s="34">
        <v>490</v>
      </c>
      <c r="I17" s="4">
        <v>0</v>
      </c>
      <c r="J17" s="19">
        <v>490</v>
      </c>
    </row>
    <row r="18" spans="1:10" x14ac:dyDescent="0.25">
      <c r="A18" s="18" t="s">
        <v>12</v>
      </c>
      <c r="B18" s="4">
        <v>1508</v>
      </c>
      <c r="C18" s="2">
        <v>586</v>
      </c>
      <c r="D18" s="2">
        <v>11</v>
      </c>
      <c r="E18" s="2">
        <v>51</v>
      </c>
      <c r="F18" s="2">
        <v>0</v>
      </c>
      <c r="G18" s="27">
        <v>0</v>
      </c>
      <c r="H18" s="34">
        <v>2156</v>
      </c>
      <c r="I18" s="4">
        <v>25</v>
      </c>
      <c r="J18" s="19">
        <v>2181</v>
      </c>
    </row>
    <row r="19" spans="1:10" x14ac:dyDescent="0.25">
      <c r="A19" s="18" t="s">
        <v>13</v>
      </c>
      <c r="B19" s="4">
        <v>2007</v>
      </c>
      <c r="C19" s="2">
        <v>719</v>
      </c>
      <c r="D19" s="2">
        <v>30</v>
      </c>
      <c r="E19" s="2">
        <v>74</v>
      </c>
      <c r="F19" s="2">
        <v>0</v>
      </c>
      <c r="G19" s="27">
        <v>0</v>
      </c>
      <c r="H19" s="34">
        <v>2830</v>
      </c>
      <c r="I19" s="4">
        <v>55</v>
      </c>
      <c r="J19" s="19">
        <v>2885</v>
      </c>
    </row>
    <row r="20" spans="1:10" x14ac:dyDescent="0.25">
      <c r="A20" s="18" t="s">
        <v>14</v>
      </c>
      <c r="B20" s="4">
        <v>3583</v>
      </c>
      <c r="C20" s="2">
        <v>1465</v>
      </c>
      <c r="D20" s="2">
        <v>41</v>
      </c>
      <c r="E20" s="2">
        <v>121</v>
      </c>
      <c r="F20" s="2">
        <v>0</v>
      </c>
      <c r="G20" s="27">
        <v>0</v>
      </c>
      <c r="H20" s="34">
        <v>5210</v>
      </c>
      <c r="I20" s="4">
        <v>54</v>
      </c>
      <c r="J20" s="19">
        <v>5264</v>
      </c>
    </row>
    <row r="21" spans="1:10" x14ac:dyDescent="0.25">
      <c r="A21" s="18" t="s">
        <v>15</v>
      </c>
      <c r="B21" s="4">
        <v>1040</v>
      </c>
      <c r="C21" s="2">
        <v>396</v>
      </c>
      <c r="D21" s="2">
        <v>0</v>
      </c>
      <c r="E21" s="2">
        <v>13</v>
      </c>
      <c r="F21" s="2">
        <v>0</v>
      </c>
      <c r="G21" s="27">
        <v>0</v>
      </c>
      <c r="H21" s="34">
        <v>1449</v>
      </c>
      <c r="I21" s="4">
        <v>0</v>
      </c>
      <c r="J21" s="19">
        <v>1449</v>
      </c>
    </row>
    <row r="22" spans="1:10" ht="15.75" thickBot="1" x14ac:dyDescent="0.3">
      <c r="A22" s="20"/>
      <c r="B22" s="7"/>
      <c r="C22" s="8"/>
      <c r="D22" s="8"/>
      <c r="E22" s="8"/>
      <c r="F22" s="8"/>
      <c r="G22" s="28"/>
      <c r="H22" s="35"/>
      <c r="I22" s="7"/>
      <c r="J22" s="21"/>
    </row>
    <row r="23" spans="1:10" ht="24.95" customHeight="1" thickBot="1" x14ac:dyDescent="0.3">
      <c r="A23" s="22" t="s">
        <v>16</v>
      </c>
      <c r="B23" s="37">
        <f>SUM(B7:B22)</f>
        <v>45199</v>
      </c>
      <c r="C23" s="37">
        <f t="shared" ref="C23:J23" si="0">SUM(C7:C22)</f>
        <v>35383</v>
      </c>
      <c r="D23" s="37">
        <f t="shared" si="0"/>
        <v>14499</v>
      </c>
      <c r="E23" s="37">
        <f t="shared" si="0"/>
        <v>4263</v>
      </c>
      <c r="F23" s="37">
        <f t="shared" si="0"/>
        <v>14978</v>
      </c>
      <c r="G23" s="38">
        <f t="shared" si="0"/>
        <v>13782</v>
      </c>
      <c r="H23" s="31">
        <f>SUM(H7:H21)</f>
        <v>128104</v>
      </c>
      <c r="I23" s="37">
        <f t="shared" si="0"/>
        <v>1236</v>
      </c>
      <c r="J23" s="48">
        <f t="shared" si="0"/>
        <v>129340</v>
      </c>
    </row>
    <row r="24" spans="1:10" x14ac:dyDescent="0.25">
      <c r="A24" s="18" t="s">
        <v>17</v>
      </c>
      <c r="B24" s="5">
        <v>2090</v>
      </c>
      <c r="C24" s="6">
        <v>1550</v>
      </c>
      <c r="D24" s="6">
        <v>359</v>
      </c>
      <c r="E24" s="6">
        <v>180</v>
      </c>
      <c r="F24" s="6">
        <v>1903</v>
      </c>
      <c r="G24" s="26">
        <v>969</v>
      </c>
      <c r="H24" s="34">
        <v>7051</v>
      </c>
      <c r="I24" s="5">
        <v>73</v>
      </c>
      <c r="J24" s="23">
        <v>7124</v>
      </c>
    </row>
    <row r="25" spans="1:10" x14ac:dyDescent="0.25">
      <c r="A25" s="18" t="s">
        <v>18</v>
      </c>
      <c r="B25" s="4">
        <v>7625</v>
      </c>
      <c r="C25" s="2">
        <v>5338</v>
      </c>
      <c r="D25" s="2">
        <v>944</v>
      </c>
      <c r="E25" s="2">
        <v>528</v>
      </c>
      <c r="F25" s="2">
        <v>4544</v>
      </c>
      <c r="G25" s="27">
        <v>3045</v>
      </c>
      <c r="H25" s="34">
        <v>22024</v>
      </c>
      <c r="I25" s="4">
        <v>123</v>
      </c>
      <c r="J25" s="23">
        <v>22147</v>
      </c>
    </row>
    <row r="26" spans="1:10" x14ac:dyDescent="0.25">
      <c r="A26" s="18" t="s">
        <v>19</v>
      </c>
      <c r="B26" s="4">
        <v>22353</v>
      </c>
      <c r="C26" s="2">
        <v>15738</v>
      </c>
      <c r="D26" s="2">
        <v>3771</v>
      </c>
      <c r="E26" s="2">
        <v>1097</v>
      </c>
      <c r="F26" s="2">
        <v>15111</v>
      </c>
      <c r="G26" s="27">
        <v>8480</v>
      </c>
      <c r="H26" s="34">
        <v>66550</v>
      </c>
      <c r="I26" s="4">
        <v>690</v>
      </c>
      <c r="J26" s="23">
        <v>67240</v>
      </c>
    </row>
    <row r="27" spans="1:10" x14ac:dyDescent="0.25">
      <c r="A27" s="18" t="s">
        <v>20</v>
      </c>
      <c r="B27" s="4">
        <v>40640</v>
      </c>
      <c r="C27" s="2">
        <v>19566</v>
      </c>
      <c r="D27" s="2">
        <v>10875</v>
      </c>
      <c r="E27" s="2">
        <v>2076</v>
      </c>
      <c r="F27" s="2">
        <v>18840</v>
      </c>
      <c r="G27" s="27">
        <v>12334</v>
      </c>
      <c r="H27" s="34">
        <v>104331</v>
      </c>
      <c r="I27" s="4">
        <v>1342</v>
      </c>
      <c r="J27" s="23">
        <v>105673</v>
      </c>
    </row>
    <row r="28" spans="1:10" x14ac:dyDescent="0.25">
      <c r="A28" s="18" t="s">
        <v>21</v>
      </c>
      <c r="B28" s="4">
        <v>64695</v>
      </c>
      <c r="C28" s="2">
        <v>27301</v>
      </c>
      <c r="D28" s="2">
        <v>13752</v>
      </c>
      <c r="E28" s="2">
        <v>4689</v>
      </c>
      <c r="F28" s="2">
        <v>18646</v>
      </c>
      <c r="G28" s="27">
        <v>9577</v>
      </c>
      <c r="H28" s="34">
        <v>138660</v>
      </c>
      <c r="I28" s="4">
        <v>1760</v>
      </c>
      <c r="J28" s="23">
        <v>140420</v>
      </c>
    </row>
    <row r="29" spans="1:10" x14ac:dyDescent="0.25">
      <c r="A29" s="18" t="s">
        <v>22</v>
      </c>
      <c r="B29" s="4">
        <v>92122</v>
      </c>
      <c r="C29" s="2">
        <v>58397</v>
      </c>
      <c r="D29" s="2">
        <v>8145</v>
      </c>
      <c r="E29" s="2">
        <v>6678</v>
      </c>
      <c r="F29" s="2">
        <v>16316</v>
      </c>
      <c r="G29" s="27">
        <v>16029</v>
      </c>
      <c r="H29" s="34">
        <v>197687</v>
      </c>
      <c r="I29" s="4">
        <v>2192</v>
      </c>
      <c r="J29" s="23">
        <v>199879</v>
      </c>
    </row>
    <row r="30" spans="1:10" x14ac:dyDescent="0.25">
      <c r="A30" s="18" t="s">
        <v>23</v>
      </c>
      <c r="B30" s="4">
        <v>39165</v>
      </c>
      <c r="C30" s="2">
        <v>16880</v>
      </c>
      <c r="D30" s="2">
        <v>4996</v>
      </c>
      <c r="E30" s="2">
        <v>15056</v>
      </c>
      <c r="F30" s="2">
        <v>14380</v>
      </c>
      <c r="G30" s="27">
        <v>3623</v>
      </c>
      <c r="H30" s="34">
        <v>94100</v>
      </c>
      <c r="I30" s="4">
        <v>256</v>
      </c>
      <c r="J30" s="23">
        <v>94356</v>
      </c>
    </row>
    <row r="31" spans="1:10" x14ac:dyDescent="0.25">
      <c r="A31" s="18" t="s">
        <v>24</v>
      </c>
      <c r="B31" s="4">
        <v>22368</v>
      </c>
      <c r="C31" s="2">
        <v>7126</v>
      </c>
      <c r="D31" s="2">
        <v>1242</v>
      </c>
      <c r="E31" s="2">
        <v>3730</v>
      </c>
      <c r="F31" s="2">
        <v>420</v>
      </c>
      <c r="G31" s="27">
        <v>1053</v>
      </c>
      <c r="H31" s="34">
        <v>35939</v>
      </c>
      <c r="I31" s="4">
        <v>1</v>
      </c>
      <c r="J31" s="23">
        <v>35940</v>
      </c>
    </row>
    <row r="32" spans="1:10" x14ac:dyDescent="0.25">
      <c r="A32" s="18" t="s">
        <v>25</v>
      </c>
      <c r="B32" s="2">
        <v>17681</v>
      </c>
      <c r="C32" s="2">
        <v>8357</v>
      </c>
      <c r="D32" s="2">
        <v>846</v>
      </c>
      <c r="E32" s="2">
        <v>2031</v>
      </c>
      <c r="F32" s="2">
        <v>577</v>
      </c>
      <c r="G32" s="27">
        <v>972</v>
      </c>
      <c r="H32" s="34">
        <v>30464</v>
      </c>
      <c r="I32" s="4">
        <v>0</v>
      </c>
      <c r="J32" s="23">
        <v>30464</v>
      </c>
    </row>
    <row r="33" spans="1:10" s="3" customFormat="1" ht="15.75" thickBot="1" x14ac:dyDescent="0.3">
      <c r="A33" s="18"/>
      <c r="B33" s="9"/>
      <c r="C33" s="10"/>
      <c r="D33" s="10"/>
      <c r="E33" s="10"/>
      <c r="F33" s="10"/>
      <c r="G33" s="29"/>
      <c r="H33" s="36"/>
      <c r="I33" s="9"/>
      <c r="J33" s="24" t="s">
        <v>29</v>
      </c>
    </row>
    <row r="34" spans="1:10" s="3" customFormat="1" ht="24.95" customHeight="1" thickBot="1" x14ac:dyDescent="0.3">
      <c r="A34" s="22" t="s">
        <v>26</v>
      </c>
      <c r="B34" s="37">
        <f>SUM(B24:B32)</f>
        <v>308739</v>
      </c>
      <c r="C34" s="37">
        <f>SUM(C24:C32)</f>
        <v>160253</v>
      </c>
      <c r="D34" s="37">
        <f t="shared" ref="D34:G34" si="1">SUM(D24:D32)</f>
        <v>44930</v>
      </c>
      <c r="E34" s="37">
        <f t="shared" si="1"/>
        <v>36065</v>
      </c>
      <c r="F34" s="37">
        <f t="shared" si="1"/>
        <v>90737</v>
      </c>
      <c r="G34" s="37">
        <f t="shared" si="1"/>
        <v>56082</v>
      </c>
      <c r="H34" s="31">
        <f>SUM(H24:H32)</f>
        <v>696806</v>
      </c>
      <c r="I34" s="37">
        <f>SUM(I24:I32)</f>
        <v>6437</v>
      </c>
      <c r="J34" s="39">
        <f>SUM(J24:J32)</f>
        <v>703243</v>
      </c>
    </row>
    <row r="35" spans="1:10" ht="30" customHeight="1" thickTop="1" thickBot="1" x14ac:dyDescent="0.3">
      <c r="A35" s="11" t="s">
        <v>27</v>
      </c>
      <c r="B35" s="40">
        <f>SUM(B23,B34)</f>
        <v>353938</v>
      </c>
      <c r="C35" s="40">
        <f t="shared" ref="C35:J35" si="2">SUM(C23,C34)</f>
        <v>195636</v>
      </c>
      <c r="D35" s="40">
        <f t="shared" si="2"/>
        <v>59429</v>
      </c>
      <c r="E35" s="40">
        <f t="shared" si="2"/>
        <v>40328</v>
      </c>
      <c r="F35" s="40">
        <f t="shared" si="2"/>
        <v>105715</v>
      </c>
      <c r="G35" s="41">
        <f t="shared" si="2"/>
        <v>69864</v>
      </c>
      <c r="H35" s="32">
        <f t="shared" si="2"/>
        <v>824910</v>
      </c>
      <c r="I35" s="40">
        <f t="shared" si="2"/>
        <v>7673</v>
      </c>
      <c r="J35" s="42">
        <f t="shared" si="2"/>
        <v>832583</v>
      </c>
    </row>
    <row r="36" spans="1:10" ht="33" customHeight="1" thickTop="1" x14ac:dyDescent="0.25">
      <c r="B36" s="12"/>
    </row>
    <row r="38" spans="1:10" x14ac:dyDescent="0.25">
      <c r="I38" s="3"/>
      <c r="J38" s="3"/>
    </row>
    <row r="39" spans="1:10" x14ac:dyDescent="0.25">
      <c r="I39" s="3"/>
      <c r="J39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7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0"/>
  <sheetViews>
    <sheetView tabSelected="1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9" t="s">
        <v>28</v>
      </c>
      <c r="B1" s="50"/>
      <c r="C1" s="50"/>
      <c r="D1" s="50"/>
      <c r="E1" s="50"/>
      <c r="F1" s="50"/>
      <c r="G1" s="50"/>
      <c r="H1" s="50"/>
      <c r="I1" s="50"/>
      <c r="J1" s="51"/>
    </row>
    <row r="2" spans="1:10" ht="18.75" x14ac:dyDescent="0.3">
      <c r="A2" s="52" t="s">
        <v>30</v>
      </c>
      <c r="B2" s="53"/>
      <c r="C2" s="53"/>
      <c r="D2" s="53"/>
      <c r="E2" s="53"/>
      <c r="F2" s="53"/>
      <c r="G2" s="53"/>
      <c r="H2" s="53"/>
      <c r="I2" s="53"/>
      <c r="J2" s="54"/>
    </row>
    <row r="3" spans="1:10" ht="18.75" x14ac:dyDescent="0.3">
      <c r="A3" s="55" t="s">
        <v>40</v>
      </c>
      <c r="B3" s="56"/>
      <c r="C3" s="56"/>
      <c r="D3" s="56"/>
      <c r="E3" s="56"/>
      <c r="F3" s="56"/>
      <c r="G3" s="56"/>
      <c r="H3" s="56"/>
      <c r="I3" s="56"/>
      <c r="J3" s="57"/>
    </row>
    <row r="4" spans="1:10" ht="19.5" thickBot="1" x14ac:dyDescent="0.35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v>4</v>
      </c>
    </row>
    <row r="9" spans="1:10" x14ac:dyDescent="0.25">
      <c r="A9" s="18" t="s">
        <v>3</v>
      </c>
      <c r="B9" s="4">
        <v>62</v>
      </c>
      <c r="C9" s="2">
        <v>33</v>
      </c>
      <c r="D9" s="2">
        <v>14</v>
      </c>
      <c r="E9" s="2">
        <v>5</v>
      </c>
      <c r="F9" s="2">
        <v>39</v>
      </c>
      <c r="G9" s="27">
        <v>24</v>
      </c>
      <c r="H9" s="34">
        <v>177</v>
      </c>
      <c r="I9" s="4">
        <v>1</v>
      </c>
      <c r="J9" s="19">
        <v>178</v>
      </c>
    </row>
    <row r="10" spans="1:10" x14ac:dyDescent="0.25">
      <c r="A10" s="18" t="s">
        <v>4</v>
      </c>
      <c r="B10" s="4">
        <v>152</v>
      </c>
      <c r="C10" s="2">
        <v>73</v>
      </c>
      <c r="D10" s="2">
        <v>30</v>
      </c>
      <c r="E10" s="2">
        <v>7</v>
      </c>
      <c r="F10" s="2">
        <v>115</v>
      </c>
      <c r="G10" s="27">
        <v>56</v>
      </c>
      <c r="H10" s="34">
        <v>433</v>
      </c>
      <c r="I10" s="4">
        <v>1</v>
      </c>
      <c r="J10" s="19">
        <v>434</v>
      </c>
    </row>
    <row r="11" spans="1:10" x14ac:dyDescent="0.25">
      <c r="A11" s="18" t="s">
        <v>5</v>
      </c>
      <c r="B11" s="4">
        <v>1497</v>
      </c>
      <c r="C11" s="2">
        <v>1796</v>
      </c>
      <c r="D11" s="2">
        <v>1292</v>
      </c>
      <c r="E11" s="2">
        <v>306</v>
      </c>
      <c r="F11" s="2">
        <v>1012</v>
      </c>
      <c r="G11" s="27">
        <v>1110</v>
      </c>
      <c r="H11" s="34">
        <v>7013</v>
      </c>
      <c r="I11" s="4">
        <v>55</v>
      </c>
      <c r="J11" s="19">
        <v>7068</v>
      </c>
    </row>
    <row r="12" spans="1:10" x14ac:dyDescent="0.25">
      <c r="A12" s="18" t="s">
        <v>6</v>
      </c>
      <c r="B12" s="4">
        <v>3716</v>
      </c>
      <c r="C12" s="2">
        <v>5462</v>
      </c>
      <c r="D12" s="2">
        <v>3240</v>
      </c>
      <c r="E12" s="2">
        <v>836</v>
      </c>
      <c r="F12" s="2">
        <v>4014</v>
      </c>
      <c r="G12" s="27">
        <v>4027</v>
      </c>
      <c r="H12" s="34">
        <v>21295</v>
      </c>
      <c r="I12" s="4">
        <v>173</v>
      </c>
      <c r="J12" s="19">
        <v>21468</v>
      </c>
    </row>
    <row r="13" spans="1:10" x14ac:dyDescent="0.25">
      <c r="A13" s="18" t="s">
        <v>7</v>
      </c>
      <c r="B13" s="4">
        <v>6712</v>
      </c>
      <c r="C13" s="2">
        <v>6901</v>
      </c>
      <c r="D13" s="2">
        <v>4594</v>
      </c>
      <c r="E13" s="2">
        <v>1063</v>
      </c>
      <c r="F13" s="2">
        <v>4199</v>
      </c>
      <c r="G13" s="27">
        <v>4853</v>
      </c>
      <c r="H13" s="34">
        <v>28322</v>
      </c>
      <c r="I13" s="4">
        <v>298</v>
      </c>
      <c r="J13" s="19">
        <v>28620</v>
      </c>
    </row>
    <row r="14" spans="1:10" x14ac:dyDescent="0.25">
      <c r="A14" s="18" t="s">
        <v>8</v>
      </c>
      <c r="B14" s="4">
        <v>10629</v>
      </c>
      <c r="C14" s="2">
        <v>10534</v>
      </c>
      <c r="D14" s="2">
        <v>3746</v>
      </c>
      <c r="E14" s="2">
        <v>1206</v>
      </c>
      <c r="F14" s="2">
        <v>3259</v>
      </c>
      <c r="G14" s="27">
        <v>2817</v>
      </c>
      <c r="H14" s="34">
        <v>32191</v>
      </c>
      <c r="I14" s="4">
        <v>431</v>
      </c>
      <c r="J14" s="19">
        <v>32622</v>
      </c>
    </row>
    <row r="15" spans="1:10" x14ac:dyDescent="0.25">
      <c r="A15" s="18" t="s">
        <v>9</v>
      </c>
      <c r="B15" s="4">
        <v>8893</v>
      </c>
      <c r="C15" s="2">
        <v>4590</v>
      </c>
      <c r="D15" s="2">
        <v>958</v>
      </c>
      <c r="E15" s="2">
        <v>237</v>
      </c>
      <c r="F15" s="2">
        <v>1205</v>
      </c>
      <c r="G15" s="27">
        <v>541</v>
      </c>
      <c r="H15" s="34">
        <v>16424</v>
      </c>
      <c r="I15" s="4">
        <v>81</v>
      </c>
      <c r="J15" s="19">
        <v>16505</v>
      </c>
    </row>
    <row r="16" spans="1:10" x14ac:dyDescent="0.25">
      <c r="A16" s="18" t="s">
        <v>10</v>
      </c>
      <c r="B16" s="4">
        <v>5353</v>
      </c>
      <c r="C16" s="2">
        <v>2743</v>
      </c>
      <c r="D16" s="2">
        <v>597</v>
      </c>
      <c r="E16" s="2">
        <v>282</v>
      </c>
      <c r="F16" s="2">
        <v>1176</v>
      </c>
      <c r="G16" s="27">
        <v>389</v>
      </c>
      <c r="H16" s="34">
        <v>10540</v>
      </c>
      <c r="I16" s="4">
        <v>58</v>
      </c>
      <c r="J16" s="19">
        <v>10598</v>
      </c>
    </row>
    <row r="17" spans="1:10" x14ac:dyDescent="0.25">
      <c r="A17" s="18" t="s">
        <v>11</v>
      </c>
      <c r="B17" s="4">
        <v>377</v>
      </c>
      <c r="C17" s="2">
        <v>100</v>
      </c>
      <c r="D17" s="2">
        <v>1</v>
      </c>
      <c r="E17" s="2">
        <v>11</v>
      </c>
      <c r="F17" s="2">
        <v>0</v>
      </c>
      <c r="G17" s="27">
        <v>0</v>
      </c>
      <c r="H17" s="34">
        <v>489</v>
      </c>
      <c r="I17" s="4">
        <v>0</v>
      </c>
      <c r="J17" s="19">
        <v>489</v>
      </c>
    </row>
    <row r="18" spans="1:10" x14ac:dyDescent="0.25">
      <c r="A18" s="18" t="s">
        <v>12</v>
      </c>
      <c r="B18" s="4">
        <v>1503</v>
      </c>
      <c r="C18" s="2">
        <v>577</v>
      </c>
      <c r="D18" s="2">
        <v>11</v>
      </c>
      <c r="E18" s="2">
        <v>52</v>
      </c>
      <c r="F18" s="2">
        <v>0</v>
      </c>
      <c r="G18" s="27">
        <v>0</v>
      </c>
      <c r="H18" s="34">
        <v>2143</v>
      </c>
      <c r="I18" s="4">
        <v>24</v>
      </c>
      <c r="J18" s="19">
        <v>2167</v>
      </c>
    </row>
    <row r="19" spans="1:10" x14ac:dyDescent="0.25">
      <c r="A19" s="18" t="s">
        <v>13</v>
      </c>
      <c r="B19" s="4">
        <v>2013</v>
      </c>
      <c r="C19" s="2">
        <v>744</v>
      </c>
      <c r="D19" s="2">
        <v>30</v>
      </c>
      <c r="E19" s="2">
        <v>76</v>
      </c>
      <c r="F19" s="2">
        <v>0</v>
      </c>
      <c r="G19" s="27">
        <v>0</v>
      </c>
      <c r="H19" s="34">
        <v>2863</v>
      </c>
      <c r="I19" s="4">
        <v>55</v>
      </c>
      <c r="J19" s="19">
        <v>2918</v>
      </c>
    </row>
    <row r="20" spans="1:10" x14ac:dyDescent="0.25">
      <c r="A20" s="18" t="s">
        <v>14</v>
      </c>
      <c r="B20" s="4">
        <v>3608</v>
      </c>
      <c r="C20" s="2">
        <v>1450</v>
      </c>
      <c r="D20" s="2">
        <v>41</v>
      </c>
      <c r="E20" s="2">
        <v>114</v>
      </c>
      <c r="F20" s="2">
        <v>0</v>
      </c>
      <c r="G20" s="27">
        <v>0</v>
      </c>
      <c r="H20" s="34">
        <v>5213</v>
      </c>
      <c r="I20" s="4">
        <v>54</v>
      </c>
      <c r="J20" s="19">
        <v>5267</v>
      </c>
    </row>
    <row r="21" spans="1:10" x14ac:dyDescent="0.25">
      <c r="A21" s="18" t="s">
        <v>15</v>
      </c>
      <c r="B21" s="4">
        <v>1110</v>
      </c>
      <c r="C21" s="2">
        <v>392</v>
      </c>
      <c r="D21" s="2">
        <v>0</v>
      </c>
      <c r="E21" s="2">
        <v>13</v>
      </c>
      <c r="F21" s="2">
        <v>0</v>
      </c>
      <c r="G21" s="27">
        <v>0</v>
      </c>
      <c r="H21" s="34">
        <v>1515</v>
      </c>
      <c r="I21" s="4">
        <v>0</v>
      </c>
      <c r="J21" s="19">
        <v>1515</v>
      </c>
    </row>
    <row r="22" spans="1:10" x14ac:dyDescent="0.25">
      <c r="A22" s="18" t="s">
        <v>53</v>
      </c>
      <c r="B22" s="7">
        <v>0</v>
      </c>
      <c r="C22" s="8">
        <v>0</v>
      </c>
      <c r="D22" s="8">
        <v>0</v>
      </c>
      <c r="E22" s="8">
        <v>0</v>
      </c>
      <c r="F22" s="8">
        <v>1</v>
      </c>
      <c r="G22" s="28">
        <v>0</v>
      </c>
      <c r="H22" s="36">
        <v>1</v>
      </c>
      <c r="I22" s="7">
        <v>0</v>
      </c>
      <c r="J22" s="43"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/>
      <c r="J23" s="21"/>
    </row>
    <row r="24" spans="1:10" ht="24.95" customHeight="1" thickBot="1" x14ac:dyDescent="0.3">
      <c r="A24" s="22" t="s">
        <v>16</v>
      </c>
      <c r="B24" s="37">
        <f t="shared" ref="B24:G24" si="0">SUM(B7:B23)</f>
        <v>45626</v>
      </c>
      <c r="C24" s="37">
        <f t="shared" si="0"/>
        <v>35395</v>
      </c>
      <c r="D24" s="37">
        <f t="shared" si="0"/>
        <v>14554</v>
      </c>
      <c r="E24" s="37">
        <f t="shared" si="0"/>
        <v>4208</v>
      </c>
      <c r="F24" s="37">
        <f t="shared" si="0"/>
        <v>15024</v>
      </c>
      <c r="G24" s="38">
        <f t="shared" si="0"/>
        <v>13817</v>
      </c>
      <c r="H24" s="31">
        <f>SUM(H7:H22)</f>
        <v>128624</v>
      </c>
      <c r="I24" s="37">
        <f>SUM(I7:I23)</f>
        <v>1231</v>
      </c>
      <c r="J24" s="39">
        <f>SUM(J7:J23)</f>
        <v>129855</v>
      </c>
    </row>
    <row r="25" spans="1:10" x14ac:dyDescent="0.25">
      <c r="A25" s="18" t="s">
        <v>17</v>
      </c>
      <c r="B25" s="5">
        <v>2066</v>
      </c>
      <c r="C25" s="6">
        <v>1543</v>
      </c>
      <c r="D25" s="6">
        <v>362</v>
      </c>
      <c r="E25" s="6">
        <v>174</v>
      </c>
      <c r="F25" s="6">
        <v>1915</v>
      </c>
      <c r="G25" s="26">
        <v>969</v>
      </c>
      <c r="H25" s="34">
        <v>7029</v>
      </c>
      <c r="I25" s="5">
        <v>74</v>
      </c>
      <c r="J25" s="23">
        <v>7103</v>
      </c>
    </row>
    <row r="26" spans="1:10" x14ac:dyDescent="0.25">
      <c r="A26" s="18" t="s">
        <v>18</v>
      </c>
      <c r="B26" s="4">
        <v>7561</v>
      </c>
      <c r="C26" s="2">
        <v>5333</v>
      </c>
      <c r="D26" s="2">
        <v>944</v>
      </c>
      <c r="E26" s="2">
        <v>537</v>
      </c>
      <c r="F26" s="2">
        <v>4550</v>
      </c>
      <c r="G26" s="27">
        <v>3034</v>
      </c>
      <c r="H26" s="34">
        <v>21959</v>
      </c>
      <c r="I26" s="4">
        <v>123</v>
      </c>
      <c r="J26" s="23">
        <v>22082</v>
      </c>
    </row>
    <row r="27" spans="1:10" x14ac:dyDescent="0.25">
      <c r="A27" s="18" t="s">
        <v>19</v>
      </c>
      <c r="B27" s="4">
        <v>22246</v>
      </c>
      <c r="C27" s="2">
        <v>15575</v>
      </c>
      <c r="D27" s="2">
        <v>3754</v>
      </c>
      <c r="E27" s="2">
        <v>1085</v>
      </c>
      <c r="F27" s="2">
        <v>15064</v>
      </c>
      <c r="G27" s="27">
        <v>8488</v>
      </c>
      <c r="H27" s="34">
        <v>66212</v>
      </c>
      <c r="I27" s="4">
        <v>688</v>
      </c>
      <c r="J27" s="23">
        <v>66900</v>
      </c>
    </row>
    <row r="28" spans="1:10" x14ac:dyDescent="0.25">
      <c r="A28" s="18" t="s">
        <v>20</v>
      </c>
      <c r="B28" s="4">
        <v>40492</v>
      </c>
      <c r="C28" s="2">
        <v>19710</v>
      </c>
      <c r="D28" s="2">
        <v>10807</v>
      </c>
      <c r="E28" s="2">
        <v>2090</v>
      </c>
      <c r="F28" s="2">
        <v>18841</v>
      </c>
      <c r="G28" s="27">
        <v>12312</v>
      </c>
      <c r="H28" s="34">
        <v>104252</v>
      </c>
      <c r="I28" s="4">
        <v>1344</v>
      </c>
      <c r="J28" s="23">
        <v>105596</v>
      </c>
    </row>
    <row r="29" spans="1:10" x14ac:dyDescent="0.25">
      <c r="A29" s="18" t="s">
        <v>21</v>
      </c>
      <c r="B29" s="4">
        <v>64758</v>
      </c>
      <c r="C29" s="2">
        <v>27326</v>
      </c>
      <c r="D29" s="2">
        <v>13668</v>
      </c>
      <c r="E29" s="2">
        <v>4460</v>
      </c>
      <c r="F29" s="2">
        <v>18836</v>
      </c>
      <c r="G29" s="27">
        <v>9678</v>
      </c>
      <c r="H29" s="34">
        <v>138726</v>
      </c>
      <c r="I29" s="4">
        <v>1762</v>
      </c>
      <c r="J29" s="23">
        <v>140488</v>
      </c>
    </row>
    <row r="30" spans="1:10" x14ac:dyDescent="0.25">
      <c r="A30" s="18" t="s">
        <v>22</v>
      </c>
      <c r="B30" s="4">
        <v>91937</v>
      </c>
      <c r="C30" s="2">
        <v>58330</v>
      </c>
      <c r="D30" s="2">
        <v>8081</v>
      </c>
      <c r="E30" s="2">
        <v>6420</v>
      </c>
      <c r="F30" s="2">
        <v>16523</v>
      </c>
      <c r="G30" s="27">
        <v>16071</v>
      </c>
      <c r="H30" s="34">
        <v>197362</v>
      </c>
      <c r="I30" s="4">
        <v>2156</v>
      </c>
      <c r="J30" s="23">
        <v>199518</v>
      </c>
    </row>
    <row r="31" spans="1:10" x14ac:dyDescent="0.25">
      <c r="A31" s="18" t="s">
        <v>23</v>
      </c>
      <c r="B31" s="4">
        <v>39304</v>
      </c>
      <c r="C31" s="2">
        <v>16972</v>
      </c>
      <c r="D31" s="2">
        <v>4957</v>
      </c>
      <c r="E31" s="2">
        <v>15363</v>
      </c>
      <c r="F31" s="2">
        <v>14619</v>
      </c>
      <c r="G31" s="27">
        <v>3499</v>
      </c>
      <c r="H31" s="34">
        <v>94714</v>
      </c>
      <c r="I31" s="4">
        <v>235</v>
      </c>
      <c r="J31" s="23">
        <v>94949</v>
      </c>
    </row>
    <row r="32" spans="1:10" x14ac:dyDescent="0.25">
      <c r="A32" s="18" t="s">
        <v>24</v>
      </c>
      <c r="B32" s="4">
        <v>22426</v>
      </c>
      <c r="C32" s="2">
        <v>7075</v>
      </c>
      <c r="D32" s="2">
        <v>1290</v>
      </c>
      <c r="E32" s="2">
        <v>3360</v>
      </c>
      <c r="F32" s="2">
        <v>408</v>
      </c>
      <c r="G32" s="27">
        <v>1024</v>
      </c>
      <c r="H32" s="34">
        <v>35583</v>
      </c>
      <c r="I32" s="4">
        <v>1</v>
      </c>
      <c r="J32" s="23">
        <v>35584</v>
      </c>
    </row>
    <row r="33" spans="1:10" x14ac:dyDescent="0.25">
      <c r="A33" s="18" t="s">
        <v>25</v>
      </c>
      <c r="B33" s="2">
        <v>17656</v>
      </c>
      <c r="C33" s="2">
        <v>8179</v>
      </c>
      <c r="D33" s="2">
        <v>837</v>
      </c>
      <c r="E33" s="2">
        <v>1753</v>
      </c>
      <c r="F33" s="2">
        <v>600</v>
      </c>
      <c r="G33" s="27">
        <v>892</v>
      </c>
      <c r="H33" s="34">
        <v>29917</v>
      </c>
      <c r="I33" s="4">
        <v>0</v>
      </c>
      <c r="J33" s="23">
        <v>29917</v>
      </c>
    </row>
    <row r="34" spans="1:10" s="3" customFormat="1" ht="15.75" thickBot="1" x14ac:dyDescent="0.3">
      <c r="A34" s="18"/>
      <c r="B34" s="9"/>
      <c r="C34" s="10"/>
      <c r="D34" s="10"/>
      <c r="E34" s="10"/>
      <c r="F34" s="10"/>
      <c r="G34" s="29"/>
      <c r="H34" s="36"/>
      <c r="I34" s="9"/>
      <c r="J34" s="24" t="s">
        <v>29</v>
      </c>
    </row>
    <row r="35" spans="1:10" s="3" customFormat="1" ht="24.95" customHeight="1" thickBot="1" x14ac:dyDescent="0.3">
      <c r="A35" s="22" t="s">
        <v>26</v>
      </c>
      <c r="B35" s="37">
        <f>SUM(B25:B33)</f>
        <v>308446</v>
      </c>
      <c r="C35" s="37">
        <f>SUM(C25:C33)</f>
        <v>160043</v>
      </c>
      <c r="D35" s="37">
        <f t="shared" ref="D35:G35" si="1">SUM(D25:D33)</f>
        <v>44700</v>
      </c>
      <c r="E35" s="37">
        <f t="shared" si="1"/>
        <v>35242</v>
      </c>
      <c r="F35" s="37">
        <f t="shared" si="1"/>
        <v>91356</v>
      </c>
      <c r="G35" s="37">
        <f t="shared" si="1"/>
        <v>55967</v>
      </c>
      <c r="H35" s="31">
        <f>SUM(H25:H33)</f>
        <v>695754</v>
      </c>
      <c r="I35" s="37">
        <f>SUM(I25:I33)</f>
        <v>6383</v>
      </c>
      <c r="J35" s="39">
        <f>SUM(J25:J33)</f>
        <v>702137</v>
      </c>
    </row>
    <row r="36" spans="1:10" ht="30" customHeight="1" thickTop="1" thickBot="1" x14ac:dyDescent="0.3">
      <c r="A36" s="11" t="s">
        <v>27</v>
      </c>
      <c r="B36" s="40">
        <f>SUM(B24,B35)</f>
        <v>354072</v>
      </c>
      <c r="C36" s="40">
        <f t="shared" ref="C36:H36" si="2">SUM(C24,C35)</f>
        <v>195438</v>
      </c>
      <c r="D36" s="40">
        <f t="shared" si="2"/>
        <v>59254</v>
      </c>
      <c r="E36" s="40">
        <f t="shared" si="2"/>
        <v>39450</v>
      </c>
      <c r="F36" s="40">
        <f t="shared" si="2"/>
        <v>106380</v>
      </c>
      <c r="G36" s="41">
        <f t="shared" si="2"/>
        <v>69784</v>
      </c>
      <c r="H36" s="32">
        <f t="shared" si="2"/>
        <v>824378</v>
      </c>
      <c r="I36" s="40">
        <f t="shared" ref="I36:J36" si="3">SUM(I24,I35)</f>
        <v>7614</v>
      </c>
      <c r="J36" s="42">
        <f t="shared" si="3"/>
        <v>831992</v>
      </c>
    </row>
    <row r="37" spans="1:10" ht="33" customHeight="1" thickTop="1" x14ac:dyDescent="0.25">
      <c r="B37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  <ignoredErrors>
    <ignoredError sqref="B35:C35" formulaRange="1"/>
    <ignoredError sqref="H2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201310</vt:lpstr>
      <vt:lpstr>201311</vt:lpstr>
      <vt:lpstr>201312</vt:lpstr>
      <vt:lpstr>201401</vt:lpstr>
      <vt:lpstr>201402</vt:lpstr>
      <vt:lpstr>201403</vt:lpstr>
      <vt:lpstr>201404</vt:lpstr>
      <vt:lpstr>201405</vt:lpstr>
      <vt:lpstr>201406</vt:lpstr>
      <vt:lpstr>201407</vt:lpstr>
      <vt:lpstr>201408</vt:lpstr>
      <vt:lpstr>201409</vt:lpstr>
      <vt:lpstr>'201310'!Print_Area</vt:lpstr>
      <vt:lpstr>'201311'!Print_Area</vt:lpstr>
      <vt:lpstr>'201312'!Print_Area</vt:lpstr>
      <vt:lpstr>'201401'!Print_Area</vt:lpstr>
      <vt:lpstr>'201402'!Print_Area</vt:lpstr>
      <vt:lpstr>'201403'!Print_Area</vt:lpstr>
      <vt:lpstr>'201404'!Print_Area</vt:lpstr>
      <vt:lpstr>'201405'!Print_Area</vt:lpstr>
      <vt:lpstr>'201406'!Print_Area</vt:lpstr>
      <vt:lpstr>'201407'!Print_Area</vt:lpstr>
      <vt:lpstr>'201408'!Print_Area</vt:lpstr>
      <vt:lpstr>'201409'!Print_Area</vt:lpstr>
    </vt:vector>
  </TitlesOfParts>
  <Company>Defense Manpower Data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2014-11-03T18:18:38Z</cp:lastPrinted>
  <dcterms:created xsi:type="dcterms:W3CDTF">2012-07-23T22:14:11Z</dcterms:created>
  <dcterms:modified xsi:type="dcterms:W3CDTF">2017-01-25T19:00:26Z</dcterms:modified>
</cp:coreProperties>
</file>