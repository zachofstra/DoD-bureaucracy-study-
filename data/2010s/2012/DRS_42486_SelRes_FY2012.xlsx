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300" yWindow="2310" windowWidth="15600" windowHeight="7830" firstSheet="3" activeTab="11"/>
  </bookViews>
  <sheets>
    <sheet name="10-2011" sheetId="1" r:id="rId1"/>
    <sheet name="11-2011" sheetId="2" r:id="rId2"/>
    <sheet name="12-2011" sheetId="3" r:id="rId3"/>
    <sheet name="01-2012" sheetId="4" r:id="rId4"/>
    <sheet name="02-2012" sheetId="5" r:id="rId5"/>
    <sheet name="03-2012" sheetId="6" r:id="rId6"/>
    <sheet name="04-2012" sheetId="7" r:id="rId7"/>
    <sheet name="05-2012" sheetId="8" r:id="rId8"/>
    <sheet name="06-2012" sheetId="9" r:id="rId9"/>
    <sheet name="07-2012" sheetId="10" r:id="rId10"/>
    <sheet name="08-2012" sheetId="11" r:id="rId11"/>
    <sheet name="09-2012" sheetId="12" r:id="rId12"/>
  </sheets>
  <definedNames>
    <definedName name="_xlnm.Print_Area" localSheetId="0">'10-2011'!$A$1:$J$37</definedName>
  </definedNames>
  <calcPr calcId="145621"/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B24" i="1"/>
  <c r="C24" i="2"/>
  <c r="D24" i="2"/>
  <c r="E24" i="2"/>
  <c r="F24" i="2"/>
  <c r="G24" i="2"/>
  <c r="H24" i="2"/>
  <c r="I24" i="2"/>
  <c r="J24" i="2"/>
  <c r="B24" i="2"/>
  <c r="C24" i="3"/>
  <c r="D24" i="3"/>
  <c r="E24" i="3"/>
  <c r="F24" i="3"/>
  <c r="G24" i="3"/>
  <c r="H24" i="3"/>
  <c r="I24" i="3"/>
  <c r="J24" i="3"/>
  <c r="B24" i="3"/>
  <c r="C24" i="4"/>
  <c r="D24" i="4"/>
  <c r="E24" i="4"/>
  <c r="F24" i="4"/>
  <c r="G24" i="4"/>
  <c r="H24" i="4"/>
  <c r="I24" i="4"/>
  <c r="J24" i="4"/>
  <c r="B24" i="4"/>
  <c r="C24" i="5"/>
  <c r="D24" i="5"/>
  <c r="E24" i="5"/>
  <c r="F24" i="5"/>
  <c r="G24" i="5"/>
  <c r="H24" i="5"/>
  <c r="I24" i="5"/>
  <c r="J24" i="5"/>
  <c r="B24" i="5"/>
  <c r="C24" i="6"/>
  <c r="D24" i="6"/>
  <c r="E24" i="6"/>
  <c r="F24" i="6"/>
  <c r="G24" i="6"/>
  <c r="H24" i="6"/>
  <c r="I24" i="6"/>
  <c r="J24" i="6"/>
  <c r="B24" i="6"/>
  <c r="C24" i="7"/>
  <c r="D24" i="7"/>
  <c r="E24" i="7"/>
  <c r="F24" i="7"/>
  <c r="G24" i="7"/>
  <c r="H24" i="7"/>
  <c r="I24" i="7"/>
  <c r="J24" i="7"/>
  <c r="B24" i="7"/>
  <c r="C24" i="8"/>
  <c r="D24" i="8"/>
  <c r="E24" i="8"/>
  <c r="F24" i="8"/>
  <c r="G24" i="8"/>
  <c r="H24" i="8"/>
  <c r="I24" i="8"/>
  <c r="J24" i="8"/>
  <c r="B24" i="8"/>
  <c r="C24" i="9"/>
  <c r="D24" i="9"/>
  <c r="E24" i="9"/>
  <c r="F24" i="9"/>
  <c r="G24" i="9"/>
  <c r="H24" i="9"/>
  <c r="I24" i="9"/>
  <c r="J24" i="9"/>
  <c r="B24" i="9"/>
  <c r="C24" i="10"/>
  <c r="D24" i="10"/>
  <c r="E24" i="10"/>
  <c r="F24" i="10"/>
  <c r="G24" i="10"/>
  <c r="H24" i="10"/>
  <c r="I24" i="10"/>
  <c r="J24" i="10"/>
  <c r="B24" i="10"/>
  <c r="C24" i="11"/>
  <c r="D24" i="11"/>
  <c r="E24" i="11"/>
  <c r="F24" i="11"/>
  <c r="G24" i="11"/>
  <c r="H24" i="11"/>
  <c r="I24" i="11"/>
  <c r="J24" i="11"/>
  <c r="B24" i="11"/>
  <c r="C24" i="12"/>
  <c r="D24" i="12"/>
  <c r="E24" i="12"/>
  <c r="F24" i="12"/>
  <c r="G24" i="12"/>
  <c r="H24" i="12"/>
  <c r="I24" i="12"/>
  <c r="J24" i="12"/>
  <c r="B24" i="12"/>
  <c r="J36" i="12" l="1"/>
  <c r="I36" i="12"/>
  <c r="H36" i="12"/>
  <c r="G36" i="12"/>
  <c r="F36" i="12"/>
  <c r="E36" i="12"/>
  <c r="D36" i="12"/>
  <c r="C36" i="12"/>
  <c r="B36" i="12"/>
  <c r="H37" i="12"/>
  <c r="F37" i="12"/>
  <c r="B37" i="12"/>
  <c r="J36" i="11"/>
  <c r="I36" i="11"/>
  <c r="H36" i="11"/>
  <c r="G36" i="11"/>
  <c r="F36" i="11"/>
  <c r="E36" i="11"/>
  <c r="D36" i="11"/>
  <c r="C36" i="11"/>
  <c r="B36" i="11"/>
  <c r="J37" i="11"/>
  <c r="G37" i="11"/>
  <c r="F37" i="11"/>
  <c r="B37" i="11"/>
  <c r="J36" i="10"/>
  <c r="I36" i="10"/>
  <c r="H36" i="10"/>
  <c r="G36" i="10"/>
  <c r="F36" i="10"/>
  <c r="E36" i="10"/>
  <c r="D36" i="10"/>
  <c r="C36" i="10"/>
  <c r="B36" i="10"/>
  <c r="I37" i="10"/>
  <c r="H37" i="10"/>
  <c r="F37" i="10"/>
  <c r="E37" i="10"/>
  <c r="B37" i="10"/>
  <c r="J36" i="9"/>
  <c r="I36" i="9"/>
  <c r="H36" i="9"/>
  <c r="G36" i="9"/>
  <c r="F36" i="9"/>
  <c r="E36" i="9"/>
  <c r="D36" i="9"/>
  <c r="C36" i="9"/>
  <c r="B36" i="9"/>
  <c r="J37" i="9"/>
  <c r="H37" i="9"/>
  <c r="F37" i="9"/>
  <c r="D37" i="9"/>
  <c r="B37" i="9"/>
  <c r="J36" i="8"/>
  <c r="I36" i="8"/>
  <c r="H36" i="8"/>
  <c r="G36" i="8"/>
  <c r="F36" i="8"/>
  <c r="E36" i="8"/>
  <c r="D36" i="8"/>
  <c r="C36" i="8"/>
  <c r="B36" i="8"/>
  <c r="J37" i="8"/>
  <c r="I37" i="8"/>
  <c r="G37" i="8"/>
  <c r="F37" i="8"/>
  <c r="E37" i="8"/>
  <c r="B37" i="8"/>
  <c r="J36" i="7"/>
  <c r="I36" i="7"/>
  <c r="H36" i="7"/>
  <c r="G36" i="7"/>
  <c r="F36" i="7"/>
  <c r="E36" i="7"/>
  <c r="D36" i="7"/>
  <c r="C36" i="7"/>
  <c r="B36" i="7"/>
  <c r="I37" i="7"/>
  <c r="G37" i="7"/>
  <c r="E37" i="7"/>
  <c r="J36" i="6"/>
  <c r="I36" i="6"/>
  <c r="H36" i="6"/>
  <c r="G36" i="6"/>
  <c r="F36" i="6"/>
  <c r="E36" i="6"/>
  <c r="D36" i="6"/>
  <c r="C36" i="6"/>
  <c r="B36" i="6"/>
  <c r="I37" i="6"/>
  <c r="G37" i="6"/>
  <c r="E37" i="6"/>
  <c r="J36" i="5"/>
  <c r="I36" i="5"/>
  <c r="H36" i="5"/>
  <c r="G36" i="5"/>
  <c r="F36" i="5"/>
  <c r="E36" i="5"/>
  <c r="D36" i="5"/>
  <c r="C36" i="5"/>
  <c r="B36" i="5"/>
  <c r="J37" i="5"/>
  <c r="I37" i="5"/>
  <c r="H37" i="5"/>
  <c r="F37" i="5"/>
  <c r="E37" i="5"/>
  <c r="B37" i="5"/>
  <c r="J36" i="4"/>
  <c r="I36" i="4"/>
  <c r="H36" i="4"/>
  <c r="G36" i="4"/>
  <c r="F36" i="4"/>
  <c r="E36" i="4"/>
  <c r="D36" i="4"/>
  <c r="C36" i="4"/>
  <c r="B36" i="4"/>
  <c r="J37" i="4"/>
  <c r="H37" i="4"/>
  <c r="G37" i="4"/>
  <c r="F37" i="4"/>
  <c r="D37" i="4"/>
  <c r="B37" i="4"/>
  <c r="J36" i="3"/>
  <c r="I36" i="3"/>
  <c r="H36" i="3"/>
  <c r="G36" i="3"/>
  <c r="F36" i="3"/>
  <c r="E36" i="3"/>
  <c r="D36" i="3"/>
  <c r="C36" i="3"/>
  <c r="B36" i="3"/>
  <c r="J37" i="3"/>
  <c r="H37" i="3"/>
  <c r="F37" i="3"/>
  <c r="B37" i="3"/>
  <c r="J36" i="2"/>
  <c r="I36" i="2"/>
  <c r="H36" i="2"/>
  <c r="G36" i="2"/>
  <c r="F36" i="2"/>
  <c r="E36" i="2"/>
  <c r="D36" i="2"/>
  <c r="C36" i="2"/>
  <c r="B36" i="2"/>
  <c r="I37" i="2"/>
  <c r="G37" i="2"/>
  <c r="E37" i="2"/>
  <c r="I37" i="4" l="1"/>
  <c r="B37" i="6"/>
  <c r="F37" i="6"/>
  <c r="J37" i="6"/>
  <c r="H37" i="7"/>
  <c r="I37" i="11"/>
  <c r="E37" i="12"/>
  <c r="I37" i="12"/>
  <c r="J37" i="12"/>
  <c r="G37" i="12"/>
  <c r="D37" i="11"/>
  <c r="H37" i="11"/>
  <c r="J37" i="10"/>
  <c r="G37" i="10"/>
  <c r="E37" i="9"/>
  <c r="I37" i="9"/>
  <c r="H37" i="8"/>
  <c r="B37" i="7"/>
  <c r="F37" i="7"/>
  <c r="J37" i="7"/>
  <c r="D37" i="6"/>
  <c r="H37" i="6"/>
  <c r="G37" i="5"/>
  <c r="G37" i="3"/>
  <c r="E37" i="3"/>
  <c r="I37" i="3"/>
  <c r="D37" i="2"/>
  <c r="H37" i="2"/>
  <c r="B37" i="2"/>
  <c r="J37" i="2"/>
  <c r="C37" i="12"/>
  <c r="D37" i="12"/>
  <c r="C37" i="11"/>
  <c r="E37" i="11"/>
  <c r="C37" i="10"/>
  <c r="D37" i="10"/>
  <c r="C37" i="9"/>
  <c r="G37" i="9"/>
  <c r="C37" i="8"/>
  <c r="D37" i="8"/>
  <c r="C37" i="7"/>
  <c r="D37" i="7"/>
  <c r="C37" i="6"/>
  <c r="C37" i="5"/>
  <c r="D37" i="5"/>
  <c r="C37" i="4"/>
  <c r="E37" i="4"/>
  <c r="C37" i="3"/>
  <c r="D37" i="3"/>
  <c r="F37" i="2"/>
  <c r="C37" i="2"/>
  <c r="C36" i="1"/>
  <c r="D36" i="1"/>
  <c r="E36" i="1"/>
  <c r="F36" i="1"/>
  <c r="G36" i="1"/>
  <c r="H36" i="1"/>
  <c r="I36" i="1"/>
  <c r="J36" i="1"/>
  <c r="J37" i="1" s="1"/>
  <c r="B36" i="1"/>
  <c r="C37" i="1"/>
  <c r="E37" i="1"/>
  <c r="G37" i="1"/>
  <c r="H37" i="1" l="1"/>
  <c r="D37" i="1"/>
  <c r="F37" i="1"/>
  <c r="I37" i="1"/>
  <c r="B37" i="1"/>
</calcChain>
</file>

<file path=xl/sharedStrings.xml><?xml version="1.0" encoding="utf-8"?>
<sst xmlns="http://schemas.openxmlformats.org/spreadsheetml/2006/main" count="528" uniqueCount="54">
  <si>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</si>
  <si>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</si>
  <si>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</si>
  <si>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</si>
  <si>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</si>
  <si>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</si>
  <si>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</si>
  <si>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</si>
  <si>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</si>
  <si>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</si>
  <si>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</si>
  <si>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</si>
  <si>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</si>
  <si>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</si>
  <si>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</si>
  <si>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</si>
  <si>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</si>
  <si>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</si>
  <si>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</si>
  <si>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</si>
  <si>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</si>
  <si>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</si>
  <si>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</si>
  <si>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</si>
  <si>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</si>
  <si>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</si>
  <si>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</si>
  <si>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</si>
  <si>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</si>
  <si>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 xml:space="preserve"> 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</si>
  <si>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</si>
  <si>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</si>
  <si>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</si>
  <si>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</si>
  <si>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</si>
  <si>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</si>
  <si>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</si>
  <si>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</si>
  <si>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Coast Guard Reserve</t>
  </si>
  <si>
    <t>TOTAL</t>
  </si>
  <si>
    <t xml:space="preserve"> October 31, 2011</t>
  </si>
  <si>
    <t xml:space="preserve"> November 30, 2011</t>
  </si>
  <si>
    <t xml:space="preserve"> December 31, 2011</t>
  </si>
  <si>
    <t xml:space="preserve"> January 31, 2012</t>
  </si>
  <si>
    <t xml:space="preserve"> February 29, 2012</t>
  </si>
  <si>
    <t xml:space="preserve"> March 31, 2012</t>
  </si>
  <si>
    <t xml:space="preserve"> April 30, 2012</t>
  </si>
  <si>
    <t xml:space="preserve"> May 31, 2012</t>
  </si>
  <si>
    <t xml:space="preserve"> June 30, 2012</t>
  </si>
  <si>
    <t xml:space="preserve"> July 31, 2011</t>
  </si>
  <si>
    <t xml:space="preserve"> August 31, 2012</t>
  </si>
  <si>
    <t xml:space="preserve"> September 30, 2012</t>
  </si>
  <si>
    <t>OFFICER UNKNOWN GRADE</t>
  </si>
  <si>
    <t>ENLISTED UNKNOWN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</si>
</sst>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3" fontId="0" fillId="0" borderId="10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3" fontId="0" fillId="0" borderId="13" xfId="0" applyNumberFormat="1" applyBorder="1"/>
    <xf numFmtId="0" fontId="27" fillId="0" borderId="15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9" xfId="0" applyFont="1" applyBorder="1" applyAlignment="1">
      <alignment vertical="center" wrapText="1"/>
    </xf>
    <xf numFmtId="0" fontId="26" fillId="0" borderId="29" xfId="0" applyFont="1" applyBorder="1"/>
    <xf numFmtId="0" fontId="27" fillId="0" borderId="29" xfId="0" applyFont="1" applyBorder="1"/>
    <xf numFmtId="0" fontId="27" fillId="0" borderId="31" xfId="0" applyFont="1" applyBorder="1"/>
    <xf numFmtId="3" fontId="0" fillId="0" borderId="17" xfId="0" applyNumberFormat="1" applyBorder="1"/>
    <xf numFmtId="3" fontId="0" fillId="0" borderId="18" xfId="0" applyNumberFormat="1" applyBorder="1"/>
    <xf numFmtId="3" fontId="1" fillId="2" borderId="14" xfId="0" applyNumberFormat="1" applyFont="1" applyFill="1" applyBorder="1"/>
    <xf numFmtId="3" fontId="1" fillId="34" borderId="16" xfId="0" applyNumberFormat="1" applyFont="1" applyFill="1" applyBorder="1" applyAlignment="1">
      <alignment vertical="center"/>
    </xf>
    <xf numFmtId="0" fontId="0" fillId="0" borderId="18" xfId="0" applyBorder="1"/>
    <xf numFmtId="3" fontId="0" fillId="2" borderId="34" xfId="0" applyNumberFormat="1" applyFill="1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3" fontId="30" fillId="0" borderId="21" xfId="0" applyNumberFormat="1" applyFont="1" applyBorder="1" applyAlignment="1">
      <alignment horizontal="center" wrapText="1"/>
    </xf>
    <xf numFmtId="3" fontId="30" fillId="0" borderId="20" xfId="0" applyNumberFormat="1" applyFont="1" applyFill="1" applyBorder="1" applyAlignment="1">
      <alignment horizontal="center" wrapText="1"/>
    </xf>
    <xf numFmtId="3" fontId="30" fillId="0" borderId="21" xfId="0" applyNumberFormat="1" applyFont="1" applyFill="1" applyBorder="1" applyAlignment="1">
      <alignment horizontal="center" wrapText="1"/>
    </xf>
    <xf numFmtId="3" fontId="30" fillId="2" borderId="32" xfId="0" applyNumberFormat="1" applyFont="1" applyFill="1" applyBorder="1" applyAlignment="1">
      <alignment horizontal="center" wrapText="1"/>
    </xf>
    <xf numFmtId="3" fontId="30" fillId="0" borderId="33" xfId="0" applyNumberFormat="1" applyFont="1" applyFill="1" applyBorder="1" applyAlignment="1">
      <alignment horizontal="center" wrapText="1"/>
    </xf>
    <xf numFmtId="3" fontId="30" fillId="0" borderId="30" xfId="0" applyNumberFormat="1" applyFont="1" applyBorder="1" applyAlignment="1">
      <alignment horizontal="center" wrapText="1"/>
    </xf>
    <xf numFmtId="3" fontId="0" fillId="0" borderId="0" xfId="0" applyNumberFormat="1" applyAlignment="1">
      <alignment vertical="center"/>
    </xf>
    <xf numFmtId="0" fontId="28" fillId="0" borderId="22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15" fontId="29" fillId="0" borderId="25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26" xfId="0" quotePrefix="1" applyNumberFormat="1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19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41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40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s="9" customFormat="1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64</v>
      </c>
      <c r="C9" s="20">
        <v>35</v>
      </c>
      <c r="D9" s="20">
        <v>24</v>
      </c>
      <c r="E9" s="20">
        <v>4</v>
      </c>
      <c r="F9" s="20">
        <v>44</v>
      </c>
      <c r="G9" s="20">
        <v>24</v>
      </c>
      <c r="H9" s="19">
        <v>195</v>
      </c>
      <c r="I9" s="20">
        <v>1</v>
      </c>
      <c r="J9" s="21">
        <v>196</v>
      </c>
    </row>
    <row r="10" spans="1:10" x14ac:dyDescent="0.25">
      <c r="A10" s="11" t="s">
        <v>4</v>
      </c>
      <c r="B10" s="20">
        <v>166</v>
      </c>
      <c r="C10" s="20">
        <v>72</v>
      </c>
      <c r="D10" s="20">
        <v>35</v>
      </c>
      <c r="E10" s="20">
        <v>6</v>
      </c>
      <c r="F10" s="20">
        <v>120</v>
      </c>
      <c r="G10" s="20">
        <v>51</v>
      </c>
      <c r="H10" s="19">
        <v>450</v>
      </c>
      <c r="I10" s="20">
        <v>1</v>
      </c>
      <c r="J10" s="21">
        <v>451</v>
      </c>
    </row>
    <row r="11" spans="1:10" x14ac:dyDescent="0.25">
      <c r="A11" s="11" t="s">
        <v>5</v>
      </c>
      <c r="B11" s="20">
        <v>1438</v>
      </c>
      <c r="C11" s="20">
        <v>1723</v>
      </c>
      <c r="D11" s="20">
        <v>1512</v>
      </c>
      <c r="E11" s="20">
        <v>321</v>
      </c>
      <c r="F11" s="20">
        <v>992</v>
      </c>
      <c r="G11" s="20">
        <v>1086</v>
      </c>
      <c r="H11" s="19">
        <v>7072</v>
      </c>
      <c r="I11" s="20">
        <v>42</v>
      </c>
      <c r="J11" s="21">
        <v>7114</v>
      </c>
    </row>
    <row r="12" spans="1:10" x14ac:dyDescent="0.25">
      <c r="A12" s="11" t="s">
        <v>6</v>
      </c>
      <c r="B12" s="20">
        <v>3955</v>
      </c>
      <c r="C12" s="20">
        <v>5944</v>
      </c>
      <c r="D12" s="20">
        <v>3461</v>
      </c>
      <c r="E12" s="20">
        <v>1018</v>
      </c>
      <c r="F12" s="20">
        <v>4202</v>
      </c>
      <c r="G12" s="20">
        <v>4696</v>
      </c>
      <c r="H12" s="19">
        <v>23276</v>
      </c>
      <c r="I12" s="20">
        <v>208</v>
      </c>
      <c r="J12" s="21">
        <v>23484</v>
      </c>
    </row>
    <row r="13" spans="1:10" x14ac:dyDescent="0.25">
      <c r="A13" s="11" t="s">
        <v>7</v>
      </c>
      <c r="B13" s="20">
        <v>6283</v>
      </c>
      <c r="C13" s="20">
        <v>7234</v>
      </c>
      <c r="D13" s="20">
        <v>4293</v>
      </c>
      <c r="E13" s="20">
        <v>1081</v>
      </c>
      <c r="F13" s="20">
        <v>3752</v>
      </c>
      <c r="G13" s="20">
        <v>4615</v>
      </c>
      <c r="H13" s="19">
        <v>27258</v>
      </c>
      <c r="I13" s="20">
        <v>258</v>
      </c>
      <c r="J13" s="21">
        <v>27516</v>
      </c>
    </row>
    <row r="14" spans="1:10" x14ac:dyDescent="0.25">
      <c r="A14" s="11" t="s">
        <v>8</v>
      </c>
      <c r="B14" s="20">
        <v>9999</v>
      </c>
      <c r="C14" s="20">
        <v>9993</v>
      </c>
      <c r="D14" s="20">
        <v>3050</v>
      </c>
      <c r="E14" s="20">
        <v>683</v>
      </c>
      <c r="F14" s="20">
        <v>3269</v>
      </c>
      <c r="G14" s="20">
        <v>3273</v>
      </c>
      <c r="H14" s="19">
        <v>30267</v>
      </c>
      <c r="I14" s="20">
        <v>467</v>
      </c>
      <c r="J14" s="21">
        <v>30734</v>
      </c>
    </row>
    <row r="15" spans="1:10" x14ac:dyDescent="0.25">
      <c r="A15" s="11" t="s">
        <v>9</v>
      </c>
      <c r="B15" s="20">
        <v>7733</v>
      </c>
      <c r="C15" s="20">
        <v>4649</v>
      </c>
      <c r="D15" s="20">
        <v>924</v>
      </c>
      <c r="E15" s="20">
        <v>138</v>
      </c>
      <c r="F15" s="20">
        <v>1004</v>
      </c>
      <c r="G15" s="20">
        <v>418</v>
      </c>
      <c r="H15" s="19">
        <v>14866</v>
      </c>
      <c r="I15" s="20">
        <v>118</v>
      </c>
      <c r="J15" s="21">
        <v>14984</v>
      </c>
    </row>
    <row r="16" spans="1:10" x14ac:dyDescent="0.25">
      <c r="A16" s="11" t="s">
        <v>10</v>
      </c>
      <c r="B16" s="20">
        <v>5578</v>
      </c>
      <c r="C16" s="20">
        <v>2699</v>
      </c>
      <c r="D16" s="20">
        <v>844</v>
      </c>
      <c r="E16" s="20">
        <v>224</v>
      </c>
      <c r="F16" s="20">
        <v>1031</v>
      </c>
      <c r="G16" s="20">
        <v>375</v>
      </c>
      <c r="H16" s="19">
        <v>10751</v>
      </c>
      <c r="I16" s="20">
        <v>68</v>
      </c>
      <c r="J16" s="21">
        <v>10819</v>
      </c>
    </row>
    <row r="17" spans="1:10" x14ac:dyDescent="0.25">
      <c r="A17" s="11" t="s">
        <v>11</v>
      </c>
      <c r="B17" s="20">
        <v>352</v>
      </c>
      <c r="C17" s="20">
        <v>96</v>
      </c>
      <c r="D17" s="20">
        <v>0</v>
      </c>
      <c r="E17" s="20">
        <v>14</v>
      </c>
      <c r="F17" s="20">
        <v>0</v>
      </c>
      <c r="G17" s="20">
        <v>0</v>
      </c>
      <c r="H17" s="19">
        <v>462</v>
      </c>
      <c r="I17" s="20">
        <v>0</v>
      </c>
      <c r="J17" s="21">
        <v>462</v>
      </c>
    </row>
    <row r="18" spans="1:10" x14ac:dyDescent="0.25">
      <c r="A18" s="11" t="s">
        <v>12</v>
      </c>
      <c r="B18" s="20">
        <v>1386</v>
      </c>
      <c r="C18" s="20">
        <v>588</v>
      </c>
      <c r="D18" s="20">
        <v>27</v>
      </c>
      <c r="E18" s="20">
        <v>46</v>
      </c>
      <c r="F18" s="20">
        <v>0</v>
      </c>
      <c r="G18" s="20">
        <v>0</v>
      </c>
      <c r="H18" s="19">
        <v>2047</v>
      </c>
      <c r="I18" s="20">
        <v>36</v>
      </c>
      <c r="J18" s="21">
        <v>2083</v>
      </c>
    </row>
    <row r="19" spans="1:10" x14ac:dyDescent="0.25">
      <c r="A19" s="11" t="s">
        <v>13</v>
      </c>
      <c r="B19" s="20">
        <v>1665</v>
      </c>
      <c r="C19" s="20">
        <v>581</v>
      </c>
      <c r="D19" s="20">
        <v>40</v>
      </c>
      <c r="E19" s="20">
        <v>88</v>
      </c>
      <c r="F19" s="20">
        <v>0</v>
      </c>
      <c r="G19" s="20">
        <v>0</v>
      </c>
      <c r="H19" s="19">
        <v>2374</v>
      </c>
      <c r="I19" s="20">
        <v>33</v>
      </c>
      <c r="J19" s="21">
        <v>2407</v>
      </c>
    </row>
    <row r="20" spans="1:10" x14ac:dyDescent="0.25">
      <c r="A20" s="11" t="s">
        <v>14</v>
      </c>
      <c r="B20" s="20">
        <v>3131</v>
      </c>
      <c r="C20" s="20">
        <v>1390</v>
      </c>
      <c r="D20" s="20">
        <v>36</v>
      </c>
      <c r="E20" s="20">
        <v>141</v>
      </c>
      <c r="F20" s="20">
        <v>0</v>
      </c>
      <c r="G20" s="20">
        <v>0</v>
      </c>
      <c r="H20" s="19">
        <v>4698</v>
      </c>
      <c r="I20" s="20">
        <v>84</v>
      </c>
      <c r="J20" s="21">
        <v>4782</v>
      </c>
    </row>
    <row r="21" spans="1:10" x14ac:dyDescent="0.25">
      <c r="A21" s="11" t="s">
        <v>15</v>
      </c>
      <c r="B21" s="20">
        <v>1701</v>
      </c>
      <c r="C21" s="20">
        <v>544</v>
      </c>
      <c r="D21" s="20">
        <v>0</v>
      </c>
      <c r="E21" s="20">
        <v>15</v>
      </c>
      <c r="F21" s="20">
        <v>0</v>
      </c>
      <c r="G21" s="20">
        <v>0</v>
      </c>
      <c r="H21" s="19">
        <v>2260</v>
      </c>
      <c r="I21" s="20">
        <v>0</v>
      </c>
      <c r="J21" s="21">
        <v>2260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1</v>
      </c>
      <c r="H22" s="19">
        <v>4</v>
      </c>
      <c r="I22" s="20">
        <v>0</v>
      </c>
      <c r="J22" s="21">
        <v>4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43453</v>
      </c>
      <c r="C24" s="16">
        <f t="shared" ref="C24:J24" si="0">SUM(C7:C22)</f>
        <v>35548</v>
      </c>
      <c r="D24" s="16">
        <f t="shared" si="0"/>
        <v>14247</v>
      </c>
      <c r="E24" s="16">
        <f t="shared" si="0"/>
        <v>3779</v>
      </c>
      <c r="F24" s="16">
        <f t="shared" si="0"/>
        <v>14418</v>
      </c>
      <c r="G24" s="16">
        <f t="shared" si="0"/>
        <v>14539</v>
      </c>
      <c r="H24" s="16">
        <f t="shared" si="0"/>
        <v>125984</v>
      </c>
      <c r="I24" s="16">
        <f t="shared" si="0"/>
        <v>1316</v>
      </c>
      <c r="J24" s="16">
        <f t="shared" si="0"/>
        <v>127300</v>
      </c>
    </row>
    <row r="25" spans="1:10" x14ac:dyDescent="0.25">
      <c r="A25" s="11" t="s">
        <v>17</v>
      </c>
      <c r="B25" s="20">
        <v>2165</v>
      </c>
      <c r="C25" s="20">
        <v>1507</v>
      </c>
      <c r="D25" s="20">
        <v>376</v>
      </c>
      <c r="E25" s="20">
        <v>197</v>
      </c>
      <c r="F25" s="20">
        <v>1983</v>
      </c>
      <c r="G25" s="20">
        <v>1022</v>
      </c>
      <c r="H25" s="19">
        <v>7250</v>
      </c>
      <c r="I25" s="20">
        <v>94</v>
      </c>
      <c r="J25" s="21">
        <v>7344</v>
      </c>
    </row>
    <row r="26" spans="1:10" x14ac:dyDescent="0.25">
      <c r="A26" s="11" t="s">
        <v>18</v>
      </c>
      <c r="B26" s="20">
        <v>7719</v>
      </c>
      <c r="C26" s="20">
        <v>6227</v>
      </c>
      <c r="D26" s="20">
        <v>1007</v>
      </c>
      <c r="E26" s="20">
        <v>444</v>
      </c>
      <c r="F26" s="20">
        <v>4783</v>
      </c>
      <c r="G26" s="20">
        <v>3221</v>
      </c>
      <c r="H26" s="19">
        <v>23401</v>
      </c>
      <c r="I26" s="20">
        <v>143</v>
      </c>
      <c r="J26" s="21">
        <v>23544</v>
      </c>
    </row>
    <row r="27" spans="1:10" x14ac:dyDescent="0.25">
      <c r="A27" s="11" t="s">
        <v>19</v>
      </c>
      <c r="B27" s="20">
        <v>22354</v>
      </c>
      <c r="C27" s="20">
        <v>15272</v>
      </c>
      <c r="D27" s="20">
        <v>3883</v>
      </c>
      <c r="E27" s="20">
        <v>1241</v>
      </c>
      <c r="F27" s="20">
        <v>15802</v>
      </c>
      <c r="G27" s="20">
        <v>9041</v>
      </c>
      <c r="H27" s="19">
        <v>67593</v>
      </c>
      <c r="I27" s="20">
        <v>674</v>
      </c>
      <c r="J27" s="21">
        <v>68267</v>
      </c>
    </row>
    <row r="28" spans="1:10" x14ac:dyDescent="0.25">
      <c r="A28" s="11" t="s">
        <v>20</v>
      </c>
      <c r="B28" s="20">
        <v>40034</v>
      </c>
      <c r="C28" s="20">
        <v>22172</v>
      </c>
      <c r="D28" s="20">
        <v>12338</v>
      </c>
      <c r="E28" s="20">
        <v>1975</v>
      </c>
      <c r="F28" s="20">
        <v>19959</v>
      </c>
      <c r="G28" s="20">
        <v>13014</v>
      </c>
      <c r="H28" s="19">
        <v>109492</v>
      </c>
      <c r="I28" s="20">
        <v>1125</v>
      </c>
      <c r="J28" s="21">
        <v>110617</v>
      </c>
    </row>
    <row r="29" spans="1:10" x14ac:dyDescent="0.25">
      <c r="A29" s="11" t="s">
        <v>21</v>
      </c>
      <c r="B29" s="20">
        <v>65490</v>
      </c>
      <c r="C29" s="20">
        <v>28647</v>
      </c>
      <c r="D29" s="20">
        <v>16561</v>
      </c>
      <c r="E29" s="20">
        <v>5443</v>
      </c>
      <c r="F29" s="20">
        <v>22531</v>
      </c>
      <c r="G29" s="20">
        <v>11709</v>
      </c>
      <c r="H29" s="19">
        <v>150381</v>
      </c>
      <c r="I29" s="20">
        <v>1736</v>
      </c>
      <c r="J29" s="21">
        <v>152117</v>
      </c>
    </row>
    <row r="30" spans="1:10" x14ac:dyDescent="0.25">
      <c r="A30" s="11" t="s">
        <v>22</v>
      </c>
      <c r="B30" s="20">
        <v>102541</v>
      </c>
      <c r="C30" s="20">
        <v>58905</v>
      </c>
      <c r="D30" s="20">
        <v>8888</v>
      </c>
      <c r="E30" s="20">
        <v>6619</v>
      </c>
      <c r="F30" s="20">
        <v>12488</v>
      </c>
      <c r="G30" s="20">
        <v>11475</v>
      </c>
      <c r="H30" s="19">
        <v>200916</v>
      </c>
      <c r="I30" s="20">
        <v>2195</v>
      </c>
      <c r="J30" s="21">
        <v>203111</v>
      </c>
    </row>
    <row r="31" spans="1:10" x14ac:dyDescent="0.25">
      <c r="A31" s="11" t="s">
        <v>23</v>
      </c>
      <c r="B31" s="20">
        <v>42210</v>
      </c>
      <c r="C31" s="20">
        <v>21298</v>
      </c>
      <c r="D31" s="20">
        <v>4456</v>
      </c>
      <c r="E31" s="20">
        <v>14600</v>
      </c>
      <c r="F31" s="20">
        <v>12550</v>
      </c>
      <c r="G31" s="20">
        <v>4251</v>
      </c>
      <c r="H31" s="19">
        <v>99365</v>
      </c>
      <c r="I31" s="20">
        <v>640</v>
      </c>
      <c r="J31" s="21">
        <v>100005</v>
      </c>
    </row>
    <row r="32" spans="1:10" x14ac:dyDescent="0.25">
      <c r="A32" s="11" t="s">
        <v>24</v>
      </c>
      <c r="B32" s="20">
        <v>18372</v>
      </c>
      <c r="C32" s="20">
        <v>7713</v>
      </c>
      <c r="D32" s="20">
        <v>1637</v>
      </c>
      <c r="E32" s="20">
        <v>3868</v>
      </c>
      <c r="F32" s="20">
        <v>275</v>
      </c>
      <c r="G32" s="20">
        <v>1179</v>
      </c>
      <c r="H32" s="19">
        <v>33044</v>
      </c>
      <c r="I32" s="20">
        <v>20</v>
      </c>
      <c r="J32" s="21">
        <v>33064</v>
      </c>
    </row>
    <row r="33" spans="1:11" x14ac:dyDescent="0.25">
      <c r="A33" s="11" t="s">
        <v>25</v>
      </c>
      <c r="B33" s="20">
        <v>15271</v>
      </c>
      <c r="C33" s="20">
        <v>7509</v>
      </c>
      <c r="D33" s="20">
        <v>1181</v>
      </c>
      <c r="E33" s="20">
        <v>1788</v>
      </c>
      <c r="F33" s="20">
        <v>473</v>
      </c>
      <c r="G33" s="20">
        <v>1807</v>
      </c>
      <c r="H33" s="19">
        <v>28029</v>
      </c>
      <c r="I33" s="20">
        <v>0</v>
      </c>
      <c r="J33" s="21">
        <v>28029</v>
      </c>
    </row>
    <row r="34" spans="1:11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3</v>
      </c>
      <c r="G34" s="20">
        <v>0</v>
      </c>
      <c r="H34" s="19">
        <v>3</v>
      </c>
      <c r="I34" s="20">
        <v>0</v>
      </c>
      <c r="J34" s="21">
        <v>3</v>
      </c>
      <c r="K34" s="18"/>
    </row>
    <row r="35" spans="1:11" s="2" customFormat="1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1" s="2" customFormat="1" ht="24.95" customHeight="1" thickBot="1" x14ac:dyDescent="0.3">
      <c r="A36" s="13" t="s">
        <v>26</v>
      </c>
      <c r="B36" s="16">
        <f>SUM(B25:B34)</f>
        <v>316156</v>
      </c>
      <c r="C36" s="16">
        <f t="shared" ref="C36:J36" si="1">SUM(C25:C34)</f>
        <v>169250</v>
      </c>
      <c r="D36" s="16">
        <f t="shared" si="1"/>
        <v>50327</v>
      </c>
      <c r="E36" s="16">
        <f t="shared" si="1"/>
        <v>36175</v>
      </c>
      <c r="F36" s="16">
        <f t="shared" si="1"/>
        <v>90847</v>
      </c>
      <c r="G36" s="16">
        <f t="shared" si="1"/>
        <v>56719</v>
      </c>
      <c r="H36" s="16">
        <f t="shared" si="1"/>
        <v>719474</v>
      </c>
      <c r="I36" s="16">
        <f t="shared" si="1"/>
        <v>6627</v>
      </c>
      <c r="J36" s="16">
        <f t="shared" si="1"/>
        <v>726101</v>
      </c>
    </row>
    <row r="37" spans="1:11" ht="30" customHeight="1" thickTop="1" thickBot="1" x14ac:dyDescent="0.3">
      <c r="A37" s="7" t="s">
        <v>27</v>
      </c>
      <c r="B37" s="17">
        <f>SUM(B24,B36)</f>
        <v>359609</v>
      </c>
      <c r="C37" s="17">
        <f t="shared" ref="C37:J37" si="2">SUM(C24,C36)</f>
        <v>204798</v>
      </c>
      <c r="D37" s="17">
        <f t="shared" si="2"/>
        <v>64574</v>
      </c>
      <c r="E37" s="17">
        <f t="shared" si="2"/>
        <v>39954</v>
      </c>
      <c r="F37" s="17">
        <f t="shared" si="2"/>
        <v>105265</v>
      </c>
      <c r="G37" s="17">
        <f t="shared" si="2"/>
        <v>71258</v>
      </c>
      <c r="H37" s="17">
        <f t="shared" si="2"/>
        <v>845458</v>
      </c>
      <c r="I37" s="17">
        <f t="shared" si="2"/>
        <v>7943</v>
      </c>
      <c r="J37" s="17">
        <f t="shared" si="2"/>
        <v>853401</v>
      </c>
    </row>
    <row r="38" spans="1:11" ht="33" customHeight="1" thickTop="1" x14ac:dyDescent="0.25"/>
    <row r="40" spans="1:11" x14ac:dyDescent="0.25">
      <c r="I40" s="28"/>
      <c r="J40" s="28"/>
    </row>
    <row r="41" spans="1:11" x14ac:dyDescent="0.25">
      <c r="I41" s="28"/>
      <c r="J41" s="28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41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61</v>
      </c>
      <c r="C9" s="20">
        <v>38</v>
      </c>
      <c r="D9" s="20">
        <v>22</v>
      </c>
      <c r="E9" s="20">
        <v>4</v>
      </c>
      <c r="F9" s="20">
        <v>44</v>
      </c>
      <c r="G9" s="20">
        <v>24</v>
      </c>
      <c r="H9" s="19">
        <v>193</v>
      </c>
      <c r="I9" s="20">
        <v>1</v>
      </c>
      <c r="J9" s="21">
        <v>194</v>
      </c>
    </row>
    <row r="10" spans="1:10" x14ac:dyDescent="0.25">
      <c r="A10" s="11" t="s">
        <v>4</v>
      </c>
      <c r="B10" s="20">
        <v>167</v>
      </c>
      <c r="C10" s="20">
        <v>73</v>
      </c>
      <c r="D10" s="20">
        <v>35</v>
      </c>
      <c r="E10" s="20">
        <v>6</v>
      </c>
      <c r="F10" s="20">
        <v>118</v>
      </c>
      <c r="G10" s="20">
        <v>51</v>
      </c>
      <c r="H10" s="19">
        <v>450</v>
      </c>
      <c r="I10" s="20">
        <v>1</v>
      </c>
      <c r="J10" s="21">
        <v>451</v>
      </c>
    </row>
    <row r="11" spans="1:10" x14ac:dyDescent="0.25">
      <c r="A11" s="11" t="s">
        <v>5</v>
      </c>
      <c r="B11" s="20">
        <v>1462</v>
      </c>
      <c r="C11" s="20">
        <v>1719</v>
      </c>
      <c r="D11" s="20">
        <v>1510</v>
      </c>
      <c r="E11" s="20">
        <v>323</v>
      </c>
      <c r="F11" s="20">
        <v>983</v>
      </c>
      <c r="G11" s="20">
        <v>1074</v>
      </c>
      <c r="H11" s="19">
        <v>7071</v>
      </c>
      <c r="I11" s="20">
        <v>41</v>
      </c>
      <c r="J11" s="21">
        <v>7112</v>
      </c>
    </row>
    <row r="12" spans="1:10" x14ac:dyDescent="0.25">
      <c r="A12" s="11" t="s">
        <v>6</v>
      </c>
      <c r="B12" s="20">
        <v>3927</v>
      </c>
      <c r="C12" s="20">
        <v>5878</v>
      </c>
      <c r="D12" s="20">
        <v>3432</v>
      </c>
      <c r="E12" s="20">
        <v>1019</v>
      </c>
      <c r="F12" s="20">
        <v>4190</v>
      </c>
      <c r="G12" s="20">
        <v>4654</v>
      </c>
      <c r="H12" s="19">
        <v>23100</v>
      </c>
      <c r="I12" s="20">
        <v>203</v>
      </c>
      <c r="J12" s="21">
        <v>23303</v>
      </c>
    </row>
    <row r="13" spans="1:10" x14ac:dyDescent="0.25">
      <c r="A13" s="11" t="s">
        <v>7</v>
      </c>
      <c r="B13" s="20">
        <v>6313</v>
      </c>
      <c r="C13" s="20">
        <v>7344</v>
      </c>
      <c r="D13" s="20">
        <v>4308</v>
      </c>
      <c r="E13" s="20">
        <v>1090</v>
      </c>
      <c r="F13" s="20">
        <v>3741</v>
      </c>
      <c r="G13" s="20">
        <v>4633</v>
      </c>
      <c r="H13" s="19">
        <v>27429</v>
      </c>
      <c r="I13" s="20">
        <v>256</v>
      </c>
      <c r="J13" s="21">
        <v>27685</v>
      </c>
    </row>
    <row r="14" spans="1:10" x14ac:dyDescent="0.25">
      <c r="A14" s="11" t="s">
        <v>8</v>
      </c>
      <c r="B14" s="20">
        <v>9925</v>
      </c>
      <c r="C14" s="20">
        <v>9871</v>
      </c>
      <c r="D14" s="20">
        <v>3082</v>
      </c>
      <c r="E14" s="20">
        <v>691</v>
      </c>
      <c r="F14" s="20">
        <v>3333</v>
      </c>
      <c r="G14" s="20">
        <v>3271</v>
      </c>
      <c r="H14" s="19">
        <v>30173</v>
      </c>
      <c r="I14" s="20">
        <v>467</v>
      </c>
      <c r="J14" s="21">
        <v>30640</v>
      </c>
    </row>
    <row r="15" spans="1:10" x14ac:dyDescent="0.25">
      <c r="A15" s="11" t="s">
        <v>9</v>
      </c>
      <c r="B15" s="20">
        <v>7781</v>
      </c>
      <c r="C15" s="20">
        <v>4777</v>
      </c>
      <c r="D15" s="20">
        <v>943</v>
      </c>
      <c r="E15" s="20">
        <v>143</v>
      </c>
      <c r="F15" s="20">
        <v>1005</v>
      </c>
      <c r="G15" s="20">
        <v>419</v>
      </c>
      <c r="H15" s="19">
        <v>15068</v>
      </c>
      <c r="I15" s="20">
        <v>115</v>
      </c>
      <c r="J15" s="21">
        <v>15183</v>
      </c>
    </row>
    <row r="16" spans="1:10" x14ac:dyDescent="0.25">
      <c r="A16" s="11" t="s">
        <v>10</v>
      </c>
      <c r="B16" s="20">
        <v>5530</v>
      </c>
      <c r="C16" s="20">
        <v>2608</v>
      </c>
      <c r="D16" s="20">
        <v>827</v>
      </c>
      <c r="E16" s="20">
        <v>223</v>
      </c>
      <c r="F16" s="20">
        <v>1016</v>
      </c>
      <c r="G16" s="20">
        <v>380</v>
      </c>
      <c r="H16" s="19">
        <v>10584</v>
      </c>
      <c r="I16" s="20">
        <v>68</v>
      </c>
      <c r="J16" s="21">
        <v>10652</v>
      </c>
    </row>
    <row r="17" spans="1:10" x14ac:dyDescent="0.25">
      <c r="A17" s="11" t="s">
        <v>11</v>
      </c>
      <c r="B17" s="20">
        <v>365</v>
      </c>
      <c r="C17" s="20">
        <v>94</v>
      </c>
      <c r="D17" s="20">
        <v>0</v>
      </c>
      <c r="E17" s="20">
        <v>12</v>
      </c>
      <c r="F17" s="20">
        <v>0</v>
      </c>
      <c r="G17" s="20">
        <v>0</v>
      </c>
      <c r="H17" s="19">
        <v>471</v>
      </c>
      <c r="I17" s="20">
        <v>0</v>
      </c>
      <c r="J17" s="21">
        <v>471</v>
      </c>
    </row>
    <row r="18" spans="1:10" x14ac:dyDescent="0.25">
      <c r="A18" s="11" t="s">
        <v>12</v>
      </c>
      <c r="B18" s="20">
        <v>1373</v>
      </c>
      <c r="C18" s="20">
        <v>590</v>
      </c>
      <c r="D18" s="20">
        <v>28</v>
      </c>
      <c r="E18" s="20">
        <v>46</v>
      </c>
      <c r="F18" s="20">
        <v>0</v>
      </c>
      <c r="G18" s="20">
        <v>0</v>
      </c>
      <c r="H18" s="19">
        <v>2037</v>
      </c>
      <c r="I18" s="20">
        <v>35</v>
      </c>
      <c r="J18" s="21">
        <v>2072</v>
      </c>
    </row>
    <row r="19" spans="1:10" x14ac:dyDescent="0.25">
      <c r="A19" s="11" t="s">
        <v>13</v>
      </c>
      <c r="B19" s="20">
        <v>1693</v>
      </c>
      <c r="C19" s="20">
        <v>585</v>
      </c>
      <c r="D19" s="20">
        <v>40</v>
      </c>
      <c r="E19" s="20">
        <v>87</v>
      </c>
      <c r="F19" s="20">
        <v>0</v>
      </c>
      <c r="G19" s="20">
        <v>0</v>
      </c>
      <c r="H19" s="19">
        <v>2405</v>
      </c>
      <c r="I19" s="20">
        <v>33</v>
      </c>
      <c r="J19" s="21">
        <v>2438</v>
      </c>
    </row>
    <row r="20" spans="1:10" x14ac:dyDescent="0.25">
      <c r="A20" s="11" t="s">
        <v>14</v>
      </c>
      <c r="B20" s="20">
        <v>3203</v>
      </c>
      <c r="C20" s="20">
        <v>1404</v>
      </c>
      <c r="D20" s="20">
        <v>43</v>
      </c>
      <c r="E20" s="20">
        <v>140</v>
      </c>
      <c r="F20" s="20">
        <v>0</v>
      </c>
      <c r="G20" s="20">
        <v>0</v>
      </c>
      <c r="H20" s="19">
        <v>4790</v>
      </c>
      <c r="I20" s="20">
        <v>84</v>
      </c>
      <c r="J20" s="21">
        <v>4874</v>
      </c>
    </row>
    <row r="21" spans="1:10" x14ac:dyDescent="0.25">
      <c r="A21" s="11" t="s">
        <v>15</v>
      </c>
      <c r="B21" s="20">
        <v>1591</v>
      </c>
      <c r="C21" s="20">
        <v>550</v>
      </c>
      <c r="D21" s="20">
        <v>0</v>
      </c>
      <c r="E21" s="20">
        <v>15</v>
      </c>
      <c r="F21" s="20">
        <v>0</v>
      </c>
      <c r="G21" s="20">
        <v>0</v>
      </c>
      <c r="H21" s="19">
        <v>2156</v>
      </c>
      <c r="I21" s="20">
        <v>0</v>
      </c>
      <c r="J21" s="21">
        <v>2156</v>
      </c>
    </row>
    <row r="22" spans="1:10" x14ac:dyDescent="0.25">
      <c r="A22" s="11" t="s">
        <v>52</v>
      </c>
      <c r="B22" s="20">
        <v>3</v>
      </c>
      <c r="C22" s="20">
        <v>0</v>
      </c>
      <c r="D22" s="20">
        <v>0</v>
      </c>
      <c r="E22" s="20">
        <v>0</v>
      </c>
      <c r="F22" s="20">
        <v>1</v>
      </c>
      <c r="G22" s="20">
        <v>0</v>
      </c>
      <c r="H22" s="19">
        <v>4</v>
      </c>
      <c r="I22" s="20">
        <v>0</v>
      </c>
      <c r="J22" s="21">
        <v>4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43394</v>
      </c>
      <c r="C24" s="16">
        <f t="shared" ref="C24:J24" si="0">SUM(C7:C22)</f>
        <v>35531</v>
      </c>
      <c r="D24" s="16">
        <f t="shared" si="0"/>
        <v>14271</v>
      </c>
      <c r="E24" s="16">
        <f t="shared" si="0"/>
        <v>3799</v>
      </c>
      <c r="F24" s="16">
        <f t="shared" si="0"/>
        <v>14434</v>
      </c>
      <c r="G24" s="16">
        <f t="shared" si="0"/>
        <v>14506</v>
      </c>
      <c r="H24" s="16">
        <f t="shared" si="0"/>
        <v>125935</v>
      </c>
      <c r="I24" s="16">
        <f t="shared" si="0"/>
        <v>1304</v>
      </c>
      <c r="J24" s="16">
        <f t="shared" si="0"/>
        <v>127239</v>
      </c>
    </row>
    <row r="25" spans="1:10" x14ac:dyDescent="0.25">
      <c r="A25" s="11" t="s">
        <v>17</v>
      </c>
      <c r="B25" s="20">
        <v>2166</v>
      </c>
      <c r="C25" s="20">
        <v>1519</v>
      </c>
      <c r="D25" s="20">
        <v>375</v>
      </c>
      <c r="E25" s="20">
        <v>198</v>
      </c>
      <c r="F25" s="20">
        <v>1981</v>
      </c>
      <c r="G25" s="20">
        <v>1022</v>
      </c>
      <c r="H25" s="19">
        <v>7261</v>
      </c>
      <c r="I25" s="20">
        <v>93</v>
      </c>
      <c r="J25" s="21">
        <v>7354</v>
      </c>
    </row>
    <row r="26" spans="1:10" x14ac:dyDescent="0.25">
      <c r="A26" s="11" t="s">
        <v>18</v>
      </c>
      <c r="B26" s="20">
        <v>7716</v>
      </c>
      <c r="C26" s="20">
        <v>6125</v>
      </c>
      <c r="D26" s="20">
        <v>1006</v>
      </c>
      <c r="E26" s="20">
        <v>439</v>
      </c>
      <c r="F26" s="20">
        <v>4761</v>
      </c>
      <c r="G26" s="20">
        <v>3225</v>
      </c>
      <c r="H26" s="19">
        <v>23272</v>
      </c>
      <c r="I26" s="20">
        <v>142</v>
      </c>
      <c r="J26" s="21">
        <v>23414</v>
      </c>
    </row>
    <row r="27" spans="1:10" x14ac:dyDescent="0.25">
      <c r="A27" s="11" t="s">
        <v>19</v>
      </c>
      <c r="B27" s="20">
        <v>22295</v>
      </c>
      <c r="C27" s="20">
        <v>15204</v>
      </c>
      <c r="D27" s="20">
        <v>3882</v>
      </c>
      <c r="E27" s="20">
        <v>1223</v>
      </c>
      <c r="F27" s="20">
        <v>15778</v>
      </c>
      <c r="G27" s="20">
        <v>9028</v>
      </c>
      <c r="H27" s="19">
        <v>67410</v>
      </c>
      <c r="I27" s="20">
        <v>670</v>
      </c>
      <c r="J27" s="21">
        <v>68080</v>
      </c>
    </row>
    <row r="28" spans="1:10" x14ac:dyDescent="0.25">
      <c r="A28" s="11" t="s">
        <v>20</v>
      </c>
      <c r="B28" s="20">
        <v>39985</v>
      </c>
      <c r="C28" s="20">
        <v>22202</v>
      </c>
      <c r="D28" s="20">
        <v>12080</v>
      </c>
      <c r="E28" s="20">
        <v>1972</v>
      </c>
      <c r="F28" s="20">
        <v>19908</v>
      </c>
      <c r="G28" s="20">
        <v>12961</v>
      </c>
      <c r="H28" s="19">
        <v>109108</v>
      </c>
      <c r="I28" s="20">
        <v>1130</v>
      </c>
      <c r="J28" s="21">
        <v>110238</v>
      </c>
    </row>
    <row r="29" spans="1:10" x14ac:dyDescent="0.25">
      <c r="A29" s="11" t="s">
        <v>21</v>
      </c>
      <c r="B29" s="20">
        <v>65508</v>
      </c>
      <c r="C29" s="20">
        <v>28521</v>
      </c>
      <c r="D29" s="20">
        <v>16601</v>
      </c>
      <c r="E29" s="20">
        <v>5349</v>
      </c>
      <c r="F29" s="20">
        <v>22371</v>
      </c>
      <c r="G29" s="20">
        <v>11570</v>
      </c>
      <c r="H29" s="19">
        <v>149920</v>
      </c>
      <c r="I29" s="20">
        <v>1739</v>
      </c>
      <c r="J29" s="21">
        <v>151659</v>
      </c>
    </row>
    <row r="30" spans="1:10" x14ac:dyDescent="0.25">
      <c r="A30" s="11" t="s">
        <v>22</v>
      </c>
      <c r="B30" s="20">
        <v>102340</v>
      </c>
      <c r="C30" s="20">
        <v>59198</v>
      </c>
      <c r="D30" s="20">
        <v>8861</v>
      </c>
      <c r="E30" s="20">
        <v>6614</v>
      </c>
      <c r="F30" s="20">
        <v>12563</v>
      </c>
      <c r="G30" s="20">
        <v>11599</v>
      </c>
      <c r="H30" s="19">
        <v>201175</v>
      </c>
      <c r="I30" s="20">
        <v>2221</v>
      </c>
      <c r="J30" s="21">
        <v>203396</v>
      </c>
    </row>
    <row r="31" spans="1:10" x14ac:dyDescent="0.25">
      <c r="A31" s="11" t="s">
        <v>23</v>
      </c>
      <c r="B31" s="20">
        <v>42023</v>
      </c>
      <c r="C31" s="20">
        <v>21361</v>
      </c>
      <c r="D31" s="20">
        <v>4438</v>
      </c>
      <c r="E31" s="20">
        <v>14655</v>
      </c>
      <c r="F31" s="20">
        <v>12536</v>
      </c>
      <c r="G31" s="20">
        <v>4246</v>
      </c>
      <c r="H31" s="19">
        <v>99259</v>
      </c>
      <c r="I31" s="20">
        <v>595</v>
      </c>
      <c r="J31" s="21">
        <v>99854</v>
      </c>
    </row>
    <row r="32" spans="1:10" x14ac:dyDescent="0.25">
      <c r="A32" s="11" t="s">
        <v>24</v>
      </c>
      <c r="B32" s="20">
        <v>18273</v>
      </c>
      <c r="C32" s="20">
        <v>7836</v>
      </c>
      <c r="D32" s="20">
        <v>1705</v>
      </c>
      <c r="E32" s="20">
        <v>4033</v>
      </c>
      <c r="F32" s="20">
        <v>272</v>
      </c>
      <c r="G32" s="20">
        <v>1232</v>
      </c>
      <c r="H32" s="19">
        <v>33351</v>
      </c>
      <c r="I32" s="20">
        <v>17</v>
      </c>
      <c r="J32" s="21">
        <v>33368</v>
      </c>
    </row>
    <row r="33" spans="1:10" x14ac:dyDescent="0.25">
      <c r="A33" s="11" t="s">
        <v>25</v>
      </c>
      <c r="B33" s="20">
        <v>15438</v>
      </c>
      <c r="C33" s="20">
        <v>7543</v>
      </c>
      <c r="D33" s="20">
        <v>1160</v>
      </c>
      <c r="E33" s="20">
        <v>1744</v>
      </c>
      <c r="F33" s="20">
        <v>542</v>
      </c>
      <c r="G33" s="20">
        <v>1760</v>
      </c>
      <c r="H33" s="19">
        <v>28187</v>
      </c>
      <c r="I33" s="20">
        <v>0</v>
      </c>
      <c r="J33" s="21">
        <v>28187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2</v>
      </c>
      <c r="G34" s="20">
        <v>0</v>
      </c>
      <c r="H34" s="19">
        <v>2</v>
      </c>
      <c r="I34" s="20">
        <v>0</v>
      </c>
      <c r="J34" s="21">
        <v>2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315744</v>
      </c>
      <c r="C36" s="16">
        <f t="shared" ref="C36:J36" si="1">SUM(C25:C34)</f>
        <v>169509</v>
      </c>
      <c r="D36" s="16">
        <f t="shared" si="1"/>
        <v>50108</v>
      </c>
      <c r="E36" s="16">
        <f t="shared" si="1"/>
        <v>36227</v>
      </c>
      <c r="F36" s="16">
        <f t="shared" si="1"/>
        <v>90714</v>
      </c>
      <c r="G36" s="16">
        <f t="shared" si="1"/>
        <v>56643</v>
      </c>
      <c r="H36" s="16">
        <f t="shared" si="1"/>
        <v>718945</v>
      </c>
      <c r="I36" s="16">
        <f t="shared" si="1"/>
        <v>6607</v>
      </c>
      <c r="J36" s="16">
        <f t="shared" si="1"/>
        <v>725552</v>
      </c>
    </row>
    <row r="37" spans="1:10" ht="30" customHeight="1" thickTop="1" thickBot="1" x14ac:dyDescent="0.3">
      <c r="A37" s="7" t="s">
        <v>27</v>
      </c>
      <c r="B37" s="17">
        <f>SUM(B24,B36)</f>
        <v>359138</v>
      </c>
      <c r="C37" s="17">
        <f t="shared" ref="C37:J37" si="2">SUM(C24,C36)</f>
        <v>205040</v>
      </c>
      <c r="D37" s="17">
        <f t="shared" si="2"/>
        <v>64379</v>
      </c>
      <c r="E37" s="17">
        <f t="shared" si="2"/>
        <v>40026</v>
      </c>
      <c r="F37" s="17">
        <f t="shared" si="2"/>
        <v>105148</v>
      </c>
      <c r="G37" s="17">
        <f t="shared" si="2"/>
        <v>71149</v>
      </c>
      <c r="H37" s="17">
        <f t="shared" si="2"/>
        <v>844880</v>
      </c>
      <c r="I37" s="17">
        <f t="shared" si="2"/>
        <v>7911</v>
      </c>
      <c r="J37" s="17">
        <f t="shared" si="2"/>
        <v>852791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42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59</v>
      </c>
      <c r="C9" s="20">
        <v>36</v>
      </c>
      <c r="D9" s="20">
        <v>22</v>
      </c>
      <c r="E9" s="20">
        <v>4</v>
      </c>
      <c r="F9" s="20">
        <v>44</v>
      </c>
      <c r="G9" s="20">
        <v>23</v>
      </c>
      <c r="H9" s="19">
        <v>188</v>
      </c>
      <c r="I9" s="20">
        <v>1</v>
      </c>
      <c r="J9" s="21">
        <v>189</v>
      </c>
    </row>
    <row r="10" spans="1:10" x14ac:dyDescent="0.25">
      <c r="A10" s="11" t="s">
        <v>4</v>
      </c>
      <c r="B10" s="20">
        <v>167</v>
      </c>
      <c r="C10" s="20">
        <v>73</v>
      </c>
      <c r="D10" s="20">
        <v>34</v>
      </c>
      <c r="E10" s="20">
        <v>6</v>
      </c>
      <c r="F10" s="20">
        <v>118</v>
      </c>
      <c r="G10" s="20">
        <v>53</v>
      </c>
      <c r="H10" s="19">
        <v>451</v>
      </c>
      <c r="I10" s="20">
        <v>1</v>
      </c>
      <c r="J10" s="21">
        <v>452</v>
      </c>
    </row>
    <row r="11" spans="1:10" x14ac:dyDescent="0.25">
      <c r="A11" s="11" t="s">
        <v>5</v>
      </c>
      <c r="B11" s="20">
        <v>1473</v>
      </c>
      <c r="C11" s="20">
        <v>1717</v>
      </c>
      <c r="D11" s="20">
        <v>1363</v>
      </c>
      <c r="E11" s="20">
        <v>323</v>
      </c>
      <c r="F11" s="20">
        <v>1008</v>
      </c>
      <c r="G11" s="20">
        <v>1074</v>
      </c>
      <c r="H11" s="19">
        <v>6958</v>
      </c>
      <c r="I11" s="20">
        <v>40</v>
      </c>
      <c r="J11" s="21">
        <v>6998</v>
      </c>
    </row>
    <row r="12" spans="1:10" x14ac:dyDescent="0.25">
      <c r="A12" s="11" t="s">
        <v>6</v>
      </c>
      <c r="B12" s="20">
        <v>3939</v>
      </c>
      <c r="C12" s="20">
        <v>5783</v>
      </c>
      <c r="D12" s="20">
        <v>3265</v>
      </c>
      <c r="E12" s="20">
        <v>1006</v>
      </c>
      <c r="F12" s="20">
        <v>4099</v>
      </c>
      <c r="G12" s="20">
        <v>4637</v>
      </c>
      <c r="H12" s="19">
        <v>22729</v>
      </c>
      <c r="I12" s="20">
        <v>198</v>
      </c>
      <c r="J12" s="21">
        <v>22927</v>
      </c>
    </row>
    <row r="13" spans="1:10" x14ac:dyDescent="0.25">
      <c r="A13" s="11" t="s">
        <v>7</v>
      </c>
      <c r="B13" s="20">
        <v>6379</v>
      </c>
      <c r="C13" s="20">
        <v>7330</v>
      </c>
      <c r="D13" s="20">
        <v>4263</v>
      </c>
      <c r="E13" s="20">
        <v>1070</v>
      </c>
      <c r="F13" s="20">
        <v>3748</v>
      </c>
      <c r="G13" s="20">
        <v>4645</v>
      </c>
      <c r="H13" s="19">
        <v>27435</v>
      </c>
      <c r="I13" s="20">
        <v>252</v>
      </c>
      <c r="J13" s="21">
        <v>27687</v>
      </c>
    </row>
    <row r="14" spans="1:10" x14ac:dyDescent="0.25">
      <c r="A14" s="11" t="s">
        <v>8</v>
      </c>
      <c r="B14" s="20">
        <v>9923</v>
      </c>
      <c r="C14" s="20">
        <v>9867</v>
      </c>
      <c r="D14" s="20">
        <v>3128</v>
      </c>
      <c r="E14" s="20">
        <v>728</v>
      </c>
      <c r="F14" s="20">
        <v>3326</v>
      </c>
      <c r="G14" s="20">
        <v>3285</v>
      </c>
      <c r="H14" s="19">
        <v>30257</v>
      </c>
      <c r="I14" s="20">
        <v>470</v>
      </c>
      <c r="J14" s="21">
        <v>30727</v>
      </c>
    </row>
    <row r="15" spans="1:10" x14ac:dyDescent="0.25">
      <c r="A15" s="11" t="s">
        <v>9</v>
      </c>
      <c r="B15" s="20">
        <v>7689</v>
      </c>
      <c r="C15" s="20">
        <v>4811</v>
      </c>
      <c r="D15" s="20">
        <v>938</v>
      </c>
      <c r="E15" s="20">
        <v>142</v>
      </c>
      <c r="F15" s="20">
        <v>1050</v>
      </c>
      <c r="G15" s="20">
        <v>432</v>
      </c>
      <c r="H15" s="19">
        <v>15062</v>
      </c>
      <c r="I15" s="20">
        <v>115</v>
      </c>
      <c r="J15" s="21">
        <v>15177</v>
      </c>
    </row>
    <row r="16" spans="1:10" x14ac:dyDescent="0.25">
      <c r="A16" s="11" t="s">
        <v>10</v>
      </c>
      <c r="B16" s="20">
        <v>5538</v>
      </c>
      <c r="C16" s="20">
        <v>2565</v>
      </c>
      <c r="D16" s="20">
        <v>849</v>
      </c>
      <c r="E16" s="20">
        <v>226</v>
      </c>
      <c r="F16" s="20">
        <v>1036</v>
      </c>
      <c r="G16" s="20">
        <v>390</v>
      </c>
      <c r="H16" s="19">
        <v>10604</v>
      </c>
      <c r="I16" s="20">
        <v>68</v>
      </c>
      <c r="J16" s="21">
        <v>10672</v>
      </c>
    </row>
    <row r="17" spans="1:10" x14ac:dyDescent="0.25">
      <c r="A17" s="11" t="s">
        <v>11</v>
      </c>
      <c r="B17" s="20">
        <v>369</v>
      </c>
      <c r="C17" s="20">
        <v>93</v>
      </c>
      <c r="D17" s="20">
        <v>0</v>
      </c>
      <c r="E17" s="20">
        <v>12</v>
      </c>
      <c r="F17" s="20">
        <v>0</v>
      </c>
      <c r="G17" s="20">
        <v>0</v>
      </c>
      <c r="H17" s="19">
        <v>474</v>
      </c>
      <c r="I17" s="20">
        <v>0</v>
      </c>
      <c r="J17" s="21">
        <v>474</v>
      </c>
    </row>
    <row r="18" spans="1:10" x14ac:dyDescent="0.25">
      <c r="A18" s="11" t="s">
        <v>12</v>
      </c>
      <c r="B18" s="20">
        <v>1393</v>
      </c>
      <c r="C18" s="20">
        <v>585</v>
      </c>
      <c r="D18" s="20">
        <v>26</v>
      </c>
      <c r="E18" s="20">
        <v>47</v>
      </c>
      <c r="F18" s="20">
        <v>0</v>
      </c>
      <c r="G18" s="20">
        <v>0</v>
      </c>
      <c r="H18" s="19">
        <v>2051</v>
      </c>
      <c r="I18" s="20">
        <v>34</v>
      </c>
      <c r="J18" s="21">
        <v>2085</v>
      </c>
    </row>
    <row r="19" spans="1:10" x14ac:dyDescent="0.25">
      <c r="A19" s="11" t="s">
        <v>13</v>
      </c>
      <c r="B19" s="20">
        <v>1714</v>
      </c>
      <c r="C19" s="20">
        <v>587</v>
      </c>
      <c r="D19" s="20">
        <v>40</v>
      </c>
      <c r="E19" s="20">
        <v>85</v>
      </c>
      <c r="F19" s="20">
        <v>0</v>
      </c>
      <c r="G19" s="20">
        <v>0</v>
      </c>
      <c r="H19" s="19">
        <v>2426</v>
      </c>
      <c r="I19" s="20">
        <v>33</v>
      </c>
      <c r="J19" s="21">
        <v>2459</v>
      </c>
    </row>
    <row r="20" spans="1:10" x14ac:dyDescent="0.25">
      <c r="A20" s="11" t="s">
        <v>14</v>
      </c>
      <c r="B20" s="20">
        <v>3261</v>
      </c>
      <c r="C20" s="20">
        <v>1414</v>
      </c>
      <c r="D20" s="20">
        <v>47</v>
      </c>
      <c r="E20" s="20">
        <v>139</v>
      </c>
      <c r="F20" s="20">
        <v>0</v>
      </c>
      <c r="G20" s="20">
        <v>0</v>
      </c>
      <c r="H20" s="19">
        <v>4861</v>
      </c>
      <c r="I20" s="20">
        <v>84</v>
      </c>
      <c r="J20" s="21">
        <v>4945</v>
      </c>
    </row>
    <row r="21" spans="1:10" x14ac:dyDescent="0.25">
      <c r="A21" s="11" t="s">
        <v>15</v>
      </c>
      <c r="B21" s="20">
        <v>1498</v>
      </c>
      <c r="C21" s="20">
        <v>538</v>
      </c>
      <c r="D21" s="20">
        <v>0</v>
      </c>
      <c r="E21" s="20">
        <v>15</v>
      </c>
      <c r="F21" s="20">
        <v>0</v>
      </c>
      <c r="G21" s="20">
        <v>0</v>
      </c>
      <c r="H21" s="19">
        <v>2051</v>
      </c>
      <c r="I21" s="20">
        <v>0</v>
      </c>
      <c r="J21" s="21">
        <v>2051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2</v>
      </c>
      <c r="G22" s="20">
        <v>0</v>
      </c>
      <c r="H22" s="19">
        <v>4</v>
      </c>
      <c r="I22" s="20">
        <v>0</v>
      </c>
      <c r="J22" s="21">
        <v>4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43404</v>
      </c>
      <c r="C24" s="16">
        <f t="shared" ref="C24:J24" si="0">SUM(C7:C22)</f>
        <v>35399</v>
      </c>
      <c r="D24" s="16">
        <f t="shared" si="0"/>
        <v>13976</v>
      </c>
      <c r="E24" s="16">
        <f t="shared" si="0"/>
        <v>3803</v>
      </c>
      <c r="F24" s="16">
        <f t="shared" si="0"/>
        <v>14434</v>
      </c>
      <c r="G24" s="16">
        <f t="shared" si="0"/>
        <v>14539</v>
      </c>
      <c r="H24" s="16">
        <f t="shared" si="0"/>
        <v>125555</v>
      </c>
      <c r="I24" s="16">
        <f t="shared" si="0"/>
        <v>1296</v>
      </c>
      <c r="J24" s="16">
        <f t="shared" si="0"/>
        <v>126851</v>
      </c>
    </row>
    <row r="25" spans="1:10" x14ac:dyDescent="0.25">
      <c r="A25" s="11" t="s">
        <v>17</v>
      </c>
      <c r="B25" s="20">
        <v>2163</v>
      </c>
      <c r="C25" s="20">
        <v>1521</v>
      </c>
      <c r="D25" s="20">
        <v>376</v>
      </c>
      <c r="E25" s="20">
        <v>194</v>
      </c>
      <c r="F25" s="20">
        <v>1962</v>
      </c>
      <c r="G25" s="20">
        <v>1026</v>
      </c>
      <c r="H25" s="19">
        <v>7242</v>
      </c>
      <c r="I25" s="20">
        <v>90</v>
      </c>
      <c r="J25" s="21">
        <v>7332</v>
      </c>
    </row>
    <row r="26" spans="1:10" x14ac:dyDescent="0.25">
      <c r="A26" s="11" t="s">
        <v>18</v>
      </c>
      <c r="B26" s="20">
        <v>7720</v>
      </c>
      <c r="C26" s="20">
        <v>6225</v>
      </c>
      <c r="D26" s="20">
        <v>1002</v>
      </c>
      <c r="E26" s="20">
        <v>433</v>
      </c>
      <c r="F26" s="20">
        <v>4711</v>
      </c>
      <c r="G26" s="20">
        <v>3206</v>
      </c>
      <c r="H26" s="19">
        <v>23297</v>
      </c>
      <c r="I26" s="20">
        <v>142</v>
      </c>
      <c r="J26" s="21">
        <v>23439</v>
      </c>
    </row>
    <row r="27" spans="1:10" x14ac:dyDescent="0.25">
      <c r="A27" s="11" t="s">
        <v>19</v>
      </c>
      <c r="B27" s="20">
        <v>22277</v>
      </c>
      <c r="C27" s="20">
        <v>14981</v>
      </c>
      <c r="D27" s="20">
        <v>3906</v>
      </c>
      <c r="E27" s="20">
        <v>1205</v>
      </c>
      <c r="F27" s="20">
        <v>15664</v>
      </c>
      <c r="G27" s="20">
        <v>9008</v>
      </c>
      <c r="H27" s="19">
        <v>67041</v>
      </c>
      <c r="I27" s="20">
        <v>679</v>
      </c>
      <c r="J27" s="21">
        <v>67720</v>
      </c>
    </row>
    <row r="28" spans="1:10" x14ac:dyDescent="0.25">
      <c r="A28" s="11" t="s">
        <v>20</v>
      </c>
      <c r="B28" s="20">
        <v>40132</v>
      </c>
      <c r="C28" s="20">
        <v>22266</v>
      </c>
      <c r="D28" s="20">
        <v>12181</v>
      </c>
      <c r="E28" s="20">
        <v>1967</v>
      </c>
      <c r="F28" s="20">
        <v>19869</v>
      </c>
      <c r="G28" s="20">
        <v>12922</v>
      </c>
      <c r="H28" s="19">
        <v>109337</v>
      </c>
      <c r="I28" s="20">
        <v>1113</v>
      </c>
      <c r="J28" s="21">
        <v>110450</v>
      </c>
    </row>
    <row r="29" spans="1:10" x14ac:dyDescent="0.25">
      <c r="A29" s="11" t="s">
        <v>21</v>
      </c>
      <c r="B29" s="20">
        <v>65497</v>
      </c>
      <c r="C29" s="20">
        <v>28383</v>
      </c>
      <c r="D29" s="20">
        <v>16601</v>
      </c>
      <c r="E29" s="20">
        <v>5176</v>
      </c>
      <c r="F29" s="20">
        <v>22169</v>
      </c>
      <c r="G29" s="20">
        <v>11447</v>
      </c>
      <c r="H29" s="19">
        <v>149273</v>
      </c>
      <c r="I29" s="20">
        <v>1719</v>
      </c>
      <c r="J29" s="21">
        <v>150992</v>
      </c>
    </row>
    <row r="30" spans="1:10" x14ac:dyDescent="0.25">
      <c r="A30" s="11" t="s">
        <v>22</v>
      </c>
      <c r="B30" s="20">
        <v>102173</v>
      </c>
      <c r="C30" s="20">
        <v>59158</v>
      </c>
      <c r="D30" s="20">
        <v>8805</v>
      </c>
      <c r="E30" s="20">
        <v>6658</v>
      </c>
      <c r="F30" s="20">
        <v>12611</v>
      </c>
      <c r="G30" s="20">
        <v>11789</v>
      </c>
      <c r="H30" s="19">
        <v>201194</v>
      </c>
      <c r="I30" s="20">
        <v>2245</v>
      </c>
      <c r="J30" s="21">
        <v>203439</v>
      </c>
    </row>
    <row r="31" spans="1:10" x14ac:dyDescent="0.25">
      <c r="A31" s="11" t="s">
        <v>23</v>
      </c>
      <c r="B31" s="20">
        <v>41869</v>
      </c>
      <c r="C31" s="20">
        <v>21301</v>
      </c>
      <c r="D31" s="20">
        <v>4411</v>
      </c>
      <c r="E31" s="20">
        <v>14967</v>
      </c>
      <c r="F31" s="20">
        <v>12531</v>
      </c>
      <c r="G31" s="20">
        <v>4284</v>
      </c>
      <c r="H31" s="19">
        <v>99363</v>
      </c>
      <c r="I31" s="20">
        <v>541</v>
      </c>
      <c r="J31" s="21">
        <v>99904</v>
      </c>
    </row>
    <row r="32" spans="1:10" x14ac:dyDescent="0.25">
      <c r="A32" s="11" t="s">
        <v>24</v>
      </c>
      <c r="B32" s="20">
        <v>18658</v>
      </c>
      <c r="C32" s="20">
        <v>8057</v>
      </c>
      <c r="D32" s="20">
        <v>1625</v>
      </c>
      <c r="E32" s="20">
        <v>4125</v>
      </c>
      <c r="F32" s="20">
        <v>287</v>
      </c>
      <c r="G32" s="20">
        <v>1308</v>
      </c>
      <c r="H32" s="19">
        <v>34060</v>
      </c>
      <c r="I32" s="20">
        <v>32</v>
      </c>
      <c r="J32" s="21">
        <v>34092</v>
      </c>
    </row>
    <row r="33" spans="1:10" x14ac:dyDescent="0.25">
      <c r="A33" s="11" t="s">
        <v>25</v>
      </c>
      <c r="B33" s="20">
        <v>15517</v>
      </c>
      <c r="C33" s="20">
        <v>7658</v>
      </c>
      <c r="D33" s="20">
        <v>1087</v>
      </c>
      <c r="E33" s="20">
        <v>1485</v>
      </c>
      <c r="F33" s="20">
        <v>591</v>
      </c>
      <c r="G33" s="20">
        <v>1744</v>
      </c>
      <c r="H33" s="19">
        <v>28082</v>
      </c>
      <c r="I33" s="20">
        <v>0</v>
      </c>
      <c r="J33" s="21">
        <v>28082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3</v>
      </c>
      <c r="G34" s="20">
        <v>0</v>
      </c>
      <c r="H34" s="19">
        <v>3</v>
      </c>
      <c r="I34" s="20">
        <v>0</v>
      </c>
      <c r="J34" s="21">
        <v>3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316006</v>
      </c>
      <c r="C36" s="16">
        <f t="shared" ref="C36:J36" si="1">SUM(C25:C34)</f>
        <v>169550</v>
      </c>
      <c r="D36" s="16">
        <f t="shared" si="1"/>
        <v>49994</v>
      </c>
      <c r="E36" s="16">
        <f t="shared" si="1"/>
        <v>36210</v>
      </c>
      <c r="F36" s="16">
        <f t="shared" si="1"/>
        <v>90398</v>
      </c>
      <c r="G36" s="16">
        <f t="shared" si="1"/>
        <v>56734</v>
      </c>
      <c r="H36" s="16">
        <f t="shared" si="1"/>
        <v>718892</v>
      </c>
      <c r="I36" s="16">
        <f t="shared" si="1"/>
        <v>6561</v>
      </c>
      <c r="J36" s="16">
        <f t="shared" si="1"/>
        <v>725453</v>
      </c>
    </row>
    <row r="37" spans="1:10" ht="30" customHeight="1" thickTop="1" thickBot="1" x14ac:dyDescent="0.3">
      <c r="A37" s="7" t="s">
        <v>27</v>
      </c>
      <c r="B37" s="17">
        <f>SUM(B24,B36)</f>
        <v>359410</v>
      </c>
      <c r="C37" s="17">
        <f t="shared" ref="C37:J37" si="2">SUM(C24,C36)</f>
        <v>204949</v>
      </c>
      <c r="D37" s="17">
        <f t="shared" si="2"/>
        <v>63970</v>
      </c>
      <c r="E37" s="17">
        <f t="shared" si="2"/>
        <v>40013</v>
      </c>
      <c r="F37" s="17">
        <f t="shared" si="2"/>
        <v>104832</v>
      </c>
      <c r="G37" s="17">
        <f t="shared" si="2"/>
        <v>71273</v>
      </c>
      <c r="H37" s="17">
        <f t="shared" si="2"/>
        <v>844447</v>
      </c>
      <c r="I37" s="17">
        <f t="shared" si="2"/>
        <v>7857</v>
      </c>
      <c r="J37" s="17">
        <f t="shared" si="2"/>
        <v>852304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43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57</v>
      </c>
      <c r="C9" s="20">
        <v>37</v>
      </c>
      <c r="D9" s="20">
        <v>21</v>
      </c>
      <c r="E9" s="20">
        <v>4</v>
      </c>
      <c r="F9" s="20">
        <v>39</v>
      </c>
      <c r="G9" s="20">
        <v>23</v>
      </c>
      <c r="H9" s="19">
        <v>181</v>
      </c>
      <c r="I9" s="20">
        <v>1</v>
      </c>
      <c r="J9" s="21">
        <v>182</v>
      </c>
    </row>
    <row r="10" spans="1:10" x14ac:dyDescent="0.25">
      <c r="A10" s="11" t="s">
        <v>4</v>
      </c>
      <c r="B10" s="20">
        <v>167</v>
      </c>
      <c r="C10" s="20">
        <v>72</v>
      </c>
      <c r="D10" s="20">
        <v>34</v>
      </c>
      <c r="E10" s="20">
        <v>6</v>
      </c>
      <c r="F10" s="20">
        <v>117</v>
      </c>
      <c r="G10" s="20">
        <v>51</v>
      </c>
      <c r="H10" s="19">
        <v>447</v>
      </c>
      <c r="I10" s="20">
        <v>1</v>
      </c>
      <c r="J10" s="21">
        <v>448</v>
      </c>
    </row>
    <row r="11" spans="1:10" x14ac:dyDescent="0.25">
      <c r="A11" s="11" t="s">
        <v>5</v>
      </c>
      <c r="B11" s="20">
        <v>1472</v>
      </c>
      <c r="C11" s="20">
        <v>1739</v>
      </c>
      <c r="D11" s="20">
        <v>1373</v>
      </c>
      <c r="E11" s="20">
        <v>322</v>
      </c>
      <c r="F11" s="20">
        <v>1010</v>
      </c>
      <c r="G11" s="20">
        <v>1058</v>
      </c>
      <c r="H11" s="19">
        <v>6974</v>
      </c>
      <c r="I11" s="20">
        <v>40</v>
      </c>
      <c r="J11" s="21">
        <v>7014</v>
      </c>
    </row>
    <row r="12" spans="1:10" x14ac:dyDescent="0.25">
      <c r="A12" s="11" t="s">
        <v>6</v>
      </c>
      <c r="B12" s="20">
        <v>3907</v>
      </c>
      <c r="C12" s="20">
        <v>5925</v>
      </c>
      <c r="D12" s="20">
        <v>3276</v>
      </c>
      <c r="E12" s="20">
        <v>1009</v>
      </c>
      <c r="F12" s="20">
        <v>4132</v>
      </c>
      <c r="G12" s="20">
        <v>4610</v>
      </c>
      <c r="H12" s="19">
        <v>22859</v>
      </c>
      <c r="I12" s="20">
        <v>199</v>
      </c>
      <c r="J12" s="21">
        <v>23058</v>
      </c>
    </row>
    <row r="13" spans="1:10" x14ac:dyDescent="0.25">
      <c r="A13" s="11" t="s">
        <v>7</v>
      </c>
      <c r="B13" s="20">
        <v>6417</v>
      </c>
      <c r="C13" s="20">
        <v>7065</v>
      </c>
      <c r="D13" s="20">
        <v>4244</v>
      </c>
      <c r="E13" s="20">
        <v>1079</v>
      </c>
      <c r="F13" s="20">
        <v>3776</v>
      </c>
      <c r="G13" s="20">
        <v>4659</v>
      </c>
      <c r="H13" s="19">
        <v>27240</v>
      </c>
      <c r="I13" s="20">
        <v>252</v>
      </c>
      <c r="J13" s="21">
        <v>27492</v>
      </c>
    </row>
    <row r="14" spans="1:10" x14ac:dyDescent="0.25">
      <c r="A14" s="11" t="s">
        <v>8</v>
      </c>
      <c r="B14" s="20">
        <v>9859</v>
      </c>
      <c r="C14" s="20">
        <v>9870</v>
      </c>
      <c r="D14" s="20">
        <v>3144</v>
      </c>
      <c r="E14" s="20">
        <v>738</v>
      </c>
      <c r="F14" s="20">
        <v>3249</v>
      </c>
      <c r="G14" s="20">
        <v>3304</v>
      </c>
      <c r="H14" s="19">
        <v>30164</v>
      </c>
      <c r="I14" s="20">
        <v>467</v>
      </c>
      <c r="J14" s="21">
        <v>30631</v>
      </c>
    </row>
    <row r="15" spans="1:10" x14ac:dyDescent="0.25">
      <c r="A15" s="11" t="s">
        <v>9</v>
      </c>
      <c r="B15" s="20">
        <v>7613</v>
      </c>
      <c r="C15" s="20">
        <v>4894</v>
      </c>
      <c r="D15" s="20">
        <v>948</v>
      </c>
      <c r="E15" s="20">
        <v>143</v>
      </c>
      <c r="F15" s="20">
        <v>1052</v>
      </c>
      <c r="G15" s="20">
        <v>432</v>
      </c>
      <c r="H15" s="19">
        <v>15082</v>
      </c>
      <c r="I15" s="20">
        <v>143</v>
      </c>
      <c r="J15" s="21">
        <v>15225</v>
      </c>
    </row>
    <row r="16" spans="1:10" x14ac:dyDescent="0.25">
      <c r="A16" s="11" t="s">
        <v>10</v>
      </c>
      <c r="B16" s="20">
        <v>5600</v>
      </c>
      <c r="C16" s="20">
        <v>2504</v>
      </c>
      <c r="D16" s="20">
        <v>866</v>
      </c>
      <c r="E16" s="20">
        <v>229</v>
      </c>
      <c r="F16" s="20">
        <v>1082</v>
      </c>
      <c r="G16" s="20">
        <v>395</v>
      </c>
      <c r="H16" s="19">
        <v>10676</v>
      </c>
      <c r="I16" s="20">
        <v>39</v>
      </c>
      <c r="J16" s="21">
        <v>10715</v>
      </c>
    </row>
    <row r="17" spans="1:10" x14ac:dyDescent="0.25">
      <c r="A17" s="11" t="s">
        <v>11</v>
      </c>
      <c r="B17" s="20">
        <v>360</v>
      </c>
      <c r="C17" s="20">
        <v>92</v>
      </c>
      <c r="D17" s="20">
        <v>0</v>
      </c>
      <c r="E17" s="20">
        <v>14</v>
      </c>
      <c r="F17" s="20">
        <v>0</v>
      </c>
      <c r="G17" s="20">
        <v>0</v>
      </c>
      <c r="H17" s="19">
        <v>466</v>
      </c>
      <c r="I17" s="20">
        <v>0</v>
      </c>
      <c r="J17" s="21">
        <v>466</v>
      </c>
    </row>
    <row r="18" spans="1:10" x14ac:dyDescent="0.25">
      <c r="A18" s="11" t="s">
        <v>12</v>
      </c>
      <c r="B18" s="20">
        <v>1377</v>
      </c>
      <c r="C18" s="20">
        <v>581</v>
      </c>
      <c r="D18" s="20">
        <v>23</v>
      </c>
      <c r="E18" s="20">
        <v>47</v>
      </c>
      <c r="F18" s="20">
        <v>0</v>
      </c>
      <c r="G18" s="20">
        <v>0</v>
      </c>
      <c r="H18" s="19">
        <v>2028</v>
      </c>
      <c r="I18" s="20">
        <v>33</v>
      </c>
      <c r="J18" s="21">
        <v>2061</v>
      </c>
    </row>
    <row r="19" spans="1:10" x14ac:dyDescent="0.25">
      <c r="A19" s="11" t="s">
        <v>13</v>
      </c>
      <c r="B19" s="20">
        <v>1714</v>
      </c>
      <c r="C19" s="20">
        <v>580</v>
      </c>
      <c r="D19" s="20">
        <v>39</v>
      </c>
      <c r="E19" s="20">
        <v>86</v>
      </c>
      <c r="F19" s="20">
        <v>0</v>
      </c>
      <c r="G19" s="20">
        <v>0</v>
      </c>
      <c r="H19" s="19">
        <v>2419</v>
      </c>
      <c r="I19" s="20">
        <v>33</v>
      </c>
      <c r="J19" s="21">
        <v>2452</v>
      </c>
    </row>
    <row r="20" spans="1:10" x14ac:dyDescent="0.25">
      <c r="A20" s="11" t="s">
        <v>14</v>
      </c>
      <c r="B20" s="20">
        <v>3259</v>
      </c>
      <c r="C20" s="20">
        <v>1408</v>
      </c>
      <c r="D20" s="20">
        <v>47</v>
      </c>
      <c r="E20" s="20">
        <v>140</v>
      </c>
      <c r="F20" s="20">
        <v>0</v>
      </c>
      <c r="G20" s="20">
        <v>0</v>
      </c>
      <c r="H20" s="19">
        <v>4854</v>
      </c>
      <c r="I20" s="20">
        <v>84</v>
      </c>
      <c r="J20" s="21">
        <v>4938</v>
      </c>
    </row>
    <row r="21" spans="1:10" x14ac:dyDescent="0.25">
      <c r="A21" s="11" t="s">
        <v>15</v>
      </c>
      <c r="B21" s="20">
        <v>1497</v>
      </c>
      <c r="C21" s="20">
        <v>535</v>
      </c>
      <c r="D21" s="20">
        <v>0</v>
      </c>
      <c r="E21" s="20">
        <v>15</v>
      </c>
      <c r="F21" s="20">
        <v>0</v>
      </c>
      <c r="G21" s="20">
        <v>0</v>
      </c>
      <c r="H21" s="19">
        <v>2047</v>
      </c>
      <c r="I21" s="20">
        <v>0</v>
      </c>
      <c r="J21" s="21">
        <v>2047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2</v>
      </c>
      <c r="G22" s="20">
        <v>1</v>
      </c>
      <c r="H22" s="19">
        <v>5</v>
      </c>
      <c r="I22" s="20">
        <v>0</v>
      </c>
      <c r="J22" s="21">
        <v>5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43301</v>
      </c>
      <c r="C24" s="16">
        <f t="shared" ref="C24:J24" si="0">SUM(C7:C22)</f>
        <v>35302</v>
      </c>
      <c r="D24" s="16">
        <f t="shared" si="0"/>
        <v>14016</v>
      </c>
      <c r="E24" s="16">
        <f t="shared" si="0"/>
        <v>3832</v>
      </c>
      <c r="F24" s="16">
        <f t="shared" si="0"/>
        <v>14462</v>
      </c>
      <c r="G24" s="16">
        <f t="shared" si="0"/>
        <v>14533</v>
      </c>
      <c r="H24" s="16">
        <f t="shared" si="0"/>
        <v>125446</v>
      </c>
      <c r="I24" s="16">
        <f t="shared" si="0"/>
        <v>1292</v>
      </c>
      <c r="J24" s="16">
        <f t="shared" si="0"/>
        <v>126738</v>
      </c>
    </row>
    <row r="25" spans="1:10" x14ac:dyDescent="0.25">
      <c r="A25" s="11" t="s">
        <v>17</v>
      </c>
      <c r="B25" s="20">
        <v>2151</v>
      </c>
      <c r="C25" s="20">
        <v>1533</v>
      </c>
      <c r="D25" s="20">
        <v>373</v>
      </c>
      <c r="E25" s="20">
        <v>195</v>
      </c>
      <c r="F25" s="20">
        <v>1964</v>
      </c>
      <c r="G25" s="20">
        <v>1018</v>
      </c>
      <c r="H25" s="19">
        <v>7234</v>
      </c>
      <c r="I25" s="20">
        <v>90</v>
      </c>
      <c r="J25" s="21">
        <v>7324</v>
      </c>
    </row>
    <row r="26" spans="1:10" x14ac:dyDescent="0.25">
      <c r="A26" s="11" t="s">
        <v>18</v>
      </c>
      <c r="B26" s="20">
        <v>7692</v>
      </c>
      <c r="C26" s="20">
        <v>6406</v>
      </c>
      <c r="D26" s="20">
        <v>996</v>
      </c>
      <c r="E26" s="20">
        <v>425</v>
      </c>
      <c r="F26" s="20">
        <v>4688</v>
      </c>
      <c r="G26" s="20">
        <v>3203</v>
      </c>
      <c r="H26" s="19">
        <v>23410</v>
      </c>
      <c r="I26" s="20">
        <v>137</v>
      </c>
      <c r="J26" s="21">
        <v>23547</v>
      </c>
    </row>
    <row r="27" spans="1:10" x14ac:dyDescent="0.25">
      <c r="A27" s="11" t="s">
        <v>19</v>
      </c>
      <c r="B27" s="20">
        <v>22164</v>
      </c>
      <c r="C27" s="20">
        <v>15431</v>
      </c>
      <c r="D27" s="20">
        <v>3917</v>
      </c>
      <c r="E27" s="20">
        <v>1204</v>
      </c>
      <c r="F27" s="20">
        <v>15657</v>
      </c>
      <c r="G27" s="20">
        <v>8982</v>
      </c>
      <c r="H27" s="19">
        <v>67355</v>
      </c>
      <c r="I27" s="20">
        <v>678</v>
      </c>
      <c r="J27" s="21">
        <v>68033</v>
      </c>
    </row>
    <row r="28" spans="1:10" x14ac:dyDescent="0.25">
      <c r="A28" s="11" t="s">
        <v>20</v>
      </c>
      <c r="B28" s="20">
        <v>40209</v>
      </c>
      <c r="C28" s="20">
        <v>21656</v>
      </c>
      <c r="D28" s="20">
        <v>12138</v>
      </c>
      <c r="E28" s="20">
        <v>1936</v>
      </c>
      <c r="F28" s="20">
        <v>19852</v>
      </c>
      <c r="G28" s="20">
        <v>12915</v>
      </c>
      <c r="H28" s="19">
        <v>108706</v>
      </c>
      <c r="I28" s="20">
        <v>1164</v>
      </c>
      <c r="J28" s="21">
        <v>109870</v>
      </c>
    </row>
    <row r="29" spans="1:10" x14ac:dyDescent="0.25">
      <c r="A29" s="11" t="s">
        <v>21</v>
      </c>
      <c r="B29" s="20">
        <v>65215</v>
      </c>
      <c r="C29" s="20">
        <v>28316</v>
      </c>
      <c r="D29" s="20">
        <v>16586</v>
      </c>
      <c r="E29" s="20">
        <v>5557</v>
      </c>
      <c r="F29" s="20">
        <v>21929</v>
      </c>
      <c r="G29" s="20">
        <v>11332</v>
      </c>
      <c r="H29" s="19">
        <v>148935</v>
      </c>
      <c r="I29" s="20">
        <v>1777</v>
      </c>
      <c r="J29" s="21">
        <v>150712</v>
      </c>
    </row>
    <row r="30" spans="1:10" x14ac:dyDescent="0.25">
      <c r="A30" s="11" t="s">
        <v>22</v>
      </c>
      <c r="B30" s="20">
        <v>101948</v>
      </c>
      <c r="C30" s="20">
        <v>59244</v>
      </c>
      <c r="D30" s="20">
        <v>8779</v>
      </c>
      <c r="E30" s="20">
        <v>6632</v>
      </c>
      <c r="F30" s="20">
        <v>12682</v>
      </c>
      <c r="G30" s="20">
        <v>11934</v>
      </c>
      <c r="H30" s="19">
        <v>201219</v>
      </c>
      <c r="I30" s="20">
        <v>2157</v>
      </c>
      <c r="J30" s="21">
        <v>203376</v>
      </c>
    </row>
    <row r="31" spans="1:10" x14ac:dyDescent="0.25">
      <c r="A31" s="11" t="s">
        <v>23</v>
      </c>
      <c r="B31" s="20">
        <v>41714</v>
      </c>
      <c r="C31" s="20">
        <v>21343</v>
      </c>
      <c r="D31" s="20">
        <v>4477</v>
      </c>
      <c r="E31" s="20">
        <v>14616</v>
      </c>
      <c r="F31" s="20">
        <v>12517</v>
      </c>
      <c r="G31" s="20">
        <v>4280</v>
      </c>
      <c r="H31" s="19">
        <v>98947</v>
      </c>
      <c r="I31" s="20">
        <v>546</v>
      </c>
      <c r="J31" s="21">
        <v>99493</v>
      </c>
    </row>
    <row r="32" spans="1:10" x14ac:dyDescent="0.25">
      <c r="A32" s="11" t="s">
        <v>24</v>
      </c>
      <c r="B32" s="20">
        <v>18917</v>
      </c>
      <c r="C32" s="20">
        <v>8039</v>
      </c>
      <c r="D32" s="20">
        <v>1582</v>
      </c>
      <c r="E32" s="20">
        <v>4340</v>
      </c>
      <c r="F32" s="20">
        <v>304</v>
      </c>
      <c r="G32" s="20">
        <v>1363</v>
      </c>
      <c r="H32" s="19">
        <v>34545</v>
      </c>
      <c r="I32" s="20">
        <v>14</v>
      </c>
      <c r="J32" s="21">
        <v>34559</v>
      </c>
    </row>
    <row r="33" spans="1:10" x14ac:dyDescent="0.25">
      <c r="A33" s="11" t="s">
        <v>25</v>
      </c>
      <c r="B33" s="20">
        <v>15710</v>
      </c>
      <c r="C33" s="20">
        <v>7395</v>
      </c>
      <c r="D33" s="20">
        <v>1118</v>
      </c>
      <c r="E33" s="20">
        <v>1332</v>
      </c>
      <c r="F33" s="20">
        <v>694</v>
      </c>
      <c r="G33" s="20">
        <v>1711</v>
      </c>
      <c r="H33" s="19">
        <v>27960</v>
      </c>
      <c r="I33" s="20">
        <v>0</v>
      </c>
      <c r="J33" s="21">
        <v>27960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3</v>
      </c>
      <c r="G34" s="20">
        <v>0</v>
      </c>
      <c r="H34" s="19">
        <v>3</v>
      </c>
      <c r="I34" s="20">
        <v>0</v>
      </c>
      <c r="J34" s="21">
        <v>3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315720</v>
      </c>
      <c r="C36" s="16">
        <f t="shared" ref="C36:J36" si="1">SUM(C25:C34)</f>
        <v>169363</v>
      </c>
      <c r="D36" s="16">
        <f t="shared" si="1"/>
        <v>49966</v>
      </c>
      <c r="E36" s="16">
        <f t="shared" si="1"/>
        <v>36237</v>
      </c>
      <c r="F36" s="16">
        <f t="shared" si="1"/>
        <v>90290</v>
      </c>
      <c r="G36" s="16">
        <f t="shared" si="1"/>
        <v>56738</v>
      </c>
      <c r="H36" s="16">
        <f t="shared" si="1"/>
        <v>718314</v>
      </c>
      <c r="I36" s="16">
        <f t="shared" si="1"/>
        <v>6563</v>
      </c>
      <c r="J36" s="16">
        <f t="shared" si="1"/>
        <v>724877</v>
      </c>
    </row>
    <row r="37" spans="1:10" ht="30" customHeight="1" thickTop="1" thickBot="1" x14ac:dyDescent="0.3">
      <c r="A37" s="7" t="s">
        <v>27</v>
      </c>
      <c r="B37" s="17">
        <f>SUM(B24,B36)</f>
        <v>359021</v>
      </c>
      <c r="C37" s="17">
        <f t="shared" ref="C37:J37" si="2">SUM(C24,C36)</f>
        <v>204665</v>
      </c>
      <c r="D37" s="17">
        <f t="shared" si="2"/>
        <v>63982</v>
      </c>
      <c r="E37" s="17">
        <f t="shared" si="2"/>
        <v>40069</v>
      </c>
      <c r="F37" s="17">
        <f t="shared" si="2"/>
        <v>104752</v>
      </c>
      <c r="G37" s="17">
        <f t="shared" si="2"/>
        <v>71271</v>
      </c>
      <c r="H37" s="17">
        <f t="shared" si="2"/>
        <v>843760</v>
      </c>
      <c r="I37" s="17">
        <f t="shared" si="2"/>
        <v>7855</v>
      </c>
      <c r="J37" s="17">
        <f t="shared" si="2"/>
        <v>851615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44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61</v>
      </c>
      <c r="C9" s="20">
        <v>38</v>
      </c>
      <c r="D9" s="20">
        <v>21</v>
      </c>
      <c r="E9" s="20">
        <v>4</v>
      </c>
      <c r="F9" s="20">
        <v>39</v>
      </c>
      <c r="G9" s="20">
        <v>28</v>
      </c>
      <c r="H9" s="19">
        <v>191</v>
      </c>
      <c r="I9" s="20">
        <v>1</v>
      </c>
      <c r="J9" s="21">
        <v>192</v>
      </c>
    </row>
    <row r="10" spans="1:10" x14ac:dyDescent="0.25">
      <c r="A10" s="11" t="s">
        <v>4</v>
      </c>
      <c r="B10" s="20">
        <v>162</v>
      </c>
      <c r="C10" s="20">
        <v>71</v>
      </c>
      <c r="D10" s="20">
        <v>36</v>
      </c>
      <c r="E10" s="20">
        <v>6</v>
      </c>
      <c r="F10" s="20">
        <v>116</v>
      </c>
      <c r="G10" s="20">
        <v>59</v>
      </c>
      <c r="H10" s="19">
        <v>450</v>
      </c>
      <c r="I10" s="20">
        <v>1</v>
      </c>
      <c r="J10" s="21">
        <v>451</v>
      </c>
    </row>
    <row r="11" spans="1:10" x14ac:dyDescent="0.25">
      <c r="A11" s="11" t="s">
        <v>5</v>
      </c>
      <c r="B11" s="20">
        <v>1497</v>
      </c>
      <c r="C11" s="20">
        <v>1755</v>
      </c>
      <c r="D11" s="20">
        <v>1363</v>
      </c>
      <c r="E11" s="20">
        <v>327</v>
      </c>
      <c r="F11" s="20">
        <v>1009</v>
      </c>
      <c r="G11" s="20">
        <v>1068</v>
      </c>
      <c r="H11" s="19">
        <v>7019</v>
      </c>
      <c r="I11" s="20">
        <v>40</v>
      </c>
      <c r="J11" s="21">
        <v>7059</v>
      </c>
    </row>
    <row r="12" spans="1:10" x14ac:dyDescent="0.25">
      <c r="A12" s="11" t="s">
        <v>6</v>
      </c>
      <c r="B12" s="20">
        <v>3906</v>
      </c>
      <c r="C12" s="20">
        <v>6003</v>
      </c>
      <c r="D12" s="20">
        <v>3272</v>
      </c>
      <c r="E12" s="20">
        <v>1007</v>
      </c>
      <c r="F12" s="20">
        <v>4099</v>
      </c>
      <c r="G12" s="20">
        <v>4545</v>
      </c>
      <c r="H12" s="19">
        <v>22832</v>
      </c>
      <c r="I12" s="20">
        <v>198</v>
      </c>
      <c r="J12" s="21">
        <v>23030</v>
      </c>
    </row>
    <row r="13" spans="1:10" x14ac:dyDescent="0.25">
      <c r="A13" s="11" t="s">
        <v>7</v>
      </c>
      <c r="B13" s="20">
        <v>6403</v>
      </c>
      <c r="C13" s="20">
        <v>6950</v>
      </c>
      <c r="D13" s="20">
        <v>4235</v>
      </c>
      <c r="E13" s="20">
        <v>1099</v>
      </c>
      <c r="F13" s="20">
        <v>3793</v>
      </c>
      <c r="G13" s="20">
        <v>4656</v>
      </c>
      <c r="H13" s="19">
        <v>27136</v>
      </c>
      <c r="I13" s="20">
        <v>252</v>
      </c>
      <c r="J13" s="21">
        <v>27388</v>
      </c>
    </row>
    <row r="14" spans="1:10" x14ac:dyDescent="0.25">
      <c r="A14" s="11" t="s">
        <v>8</v>
      </c>
      <c r="B14" s="20">
        <v>9813</v>
      </c>
      <c r="C14" s="20">
        <v>9905</v>
      </c>
      <c r="D14" s="20">
        <v>3161</v>
      </c>
      <c r="E14" s="20">
        <v>724</v>
      </c>
      <c r="F14" s="20">
        <v>3326</v>
      </c>
      <c r="G14" s="20">
        <v>3325</v>
      </c>
      <c r="H14" s="19">
        <v>30254</v>
      </c>
      <c r="I14" s="20">
        <v>466</v>
      </c>
      <c r="J14" s="21">
        <v>30720</v>
      </c>
    </row>
    <row r="15" spans="1:10" x14ac:dyDescent="0.25">
      <c r="A15" s="11" t="s">
        <v>9</v>
      </c>
      <c r="B15" s="20">
        <v>7564</v>
      </c>
      <c r="C15" s="20">
        <v>5041</v>
      </c>
      <c r="D15" s="20">
        <v>985</v>
      </c>
      <c r="E15" s="20">
        <v>145</v>
      </c>
      <c r="F15" s="20">
        <v>1050</v>
      </c>
      <c r="G15" s="20">
        <v>448</v>
      </c>
      <c r="H15" s="19">
        <v>15233</v>
      </c>
      <c r="I15" s="20">
        <v>143</v>
      </c>
      <c r="J15" s="21">
        <v>15376</v>
      </c>
    </row>
    <row r="16" spans="1:10" x14ac:dyDescent="0.25">
      <c r="A16" s="11" t="s">
        <v>10</v>
      </c>
      <c r="B16" s="20">
        <v>5653</v>
      </c>
      <c r="C16" s="20">
        <v>2408</v>
      </c>
      <c r="D16" s="20">
        <v>834</v>
      </c>
      <c r="E16" s="20">
        <v>236</v>
      </c>
      <c r="F16" s="20">
        <v>1019</v>
      </c>
      <c r="G16" s="20">
        <v>398</v>
      </c>
      <c r="H16" s="19">
        <v>10548</v>
      </c>
      <c r="I16" s="20">
        <v>39</v>
      </c>
      <c r="J16" s="21">
        <v>10587</v>
      </c>
    </row>
    <row r="17" spans="1:10" x14ac:dyDescent="0.25">
      <c r="A17" s="11" t="s">
        <v>11</v>
      </c>
      <c r="B17" s="20">
        <v>374</v>
      </c>
      <c r="C17" s="20">
        <v>96</v>
      </c>
      <c r="D17" s="20">
        <v>0</v>
      </c>
      <c r="E17" s="20">
        <v>13</v>
      </c>
      <c r="F17" s="20">
        <v>0</v>
      </c>
      <c r="G17" s="20">
        <v>0</v>
      </c>
      <c r="H17" s="19">
        <v>483</v>
      </c>
      <c r="I17" s="20">
        <v>0</v>
      </c>
      <c r="J17" s="21">
        <v>483</v>
      </c>
    </row>
    <row r="18" spans="1:10" x14ac:dyDescent="0.25">
      <c r="A18" s="11" t="s">
        <v>12</v>
      </c>
      <c r="B18" s="20">
        <v>1380</v>
      </c>
      <c r="C18" s="20">
        <v>582</v>
      </c>
      <c r="D18" s="20">
        <v>22</v>
      </c>
      <c r="E18" s="20">
        <v>44</v>
      </c>
      <c r="F18" s="20">
        <v>0</v>
      </c>
      <c r="G18" s="20">
        <v>0</v>
      </c>
      <c r="H18" s="19">
        <v>2028</v>
      </c>
      <c r="I18" s="20">
        <v>32</v>
      </c>
      <c r="J18" s="21">
        <v>2060</v>
      </c>
    </row>
    <row r="19" spans="1:10" x14ac:dyDescent="0.25">
      <c r="A19" s="11" t="s">
        <v>13</v>
      </c>
      <c r="B19" s="20">
        <v>1735</v>
      </c>
      <c r="C19" s="20">
        <v>583</v>
      </c>
      <c r="D19" s="20">
        <v>37</v>
      </c>
      <c r="E19" s="20">
        <v>89</v>
      </c>
      <c r="F19" s="20">
        <v>0</v>
      </c>
      <c r="G19" s="20">
        <v>0</v>
      </c>
      <c r="H19" s="19">
        <v>2444</v>
      </c>
      <c r="I19" s="20">
        <v>33</v>
      </c>
      <c r="J19" s="21">
        <v>2477</v>
      </c>
    </row>
    <row r="20" spans="1:10" x14ac:dyDescent="0.25">
      <c r="A20" s="11" t="s">
        <v>14</v>
      </c>
      <c r="B20" s="20">
        <v>3328</v>
      </c>
      <c r="C20" s="20">
        <v>1394</v>
      </c>
      <c r="D20" s="20">
        <v>47</v>
      </c>
      <c r="E20" s="20">
        <v>138</v>
      </c>
      <c r="F20" s="20">
        <v>0</v>
      </c>
      <c r="G20" s="20">
        <v>0</v>
      </c>
      <c r="H20" s="19">
        <v>4907</v>
      </c>
      <c r="I20" s="20">
        <v>84</v>
      </c>
      <c r="J20" s="21">
        <v>4991</v>
      </c>
    </row>
    <row r="21" spans="1:10" x14ac:dyDescent="0.25">
      <c r="A21" s="11" t="s">
        <v>15</v>
      </c>
      <c r="B21" s="20">
        <v>1396</v>
      </c>
      <c r="C21" s="20">
        <v>557</v>
      </c>
      <c r="D21" s="20">
        <v>0</v>
      </c>
      <c r="E21" s="20">
        <v>31</v>
      </c>
      <c r="F21" s="20">
        <v>0</v>
      </c>
      <c r="G21" s="20">
        <v>0</v>
      </c>
      <c r="H21" s="19">
        <v>1984</v>
      </c>
      <c r="I21" s="20">
        <v>0</v>
      </c>
      <c r="J21" s="21">
        <v>1984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0</v>
      </c>
      <c r="H22" s="19">
        <v>3</v>
      </c>
      <c r="I22" s="20">
        <v>0</v>
      </c>
      <c r="J22" s="21">
        <v>3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43274</v>
      </c>
      <c r="C24" s="16">
        <f t="shared" ref="C24:J24" si="0">SUM(C7:C22)</f>
        <v>35383</v>
      </c>
      <c r="D24" s="16">
        <f t="shared" si="0"/>
        <v>14014</v>
      </c>
      <c r="E24" s="16">
        <f t="shared" si="0"/>
        <v>3863</v>
      </c>
      <c r="F24" s="16">
        <f t="shared" si="0"/>
        <v>14455</v>
      </c>
      <c r="G24" s="16">
        <f t="shared" si="0"/>
        <v>14527</v>
      </c>
      <c r="H24" s="16">
        <f t="shared" si="0"/>
        <v>125516</v>
      </c>
      <c r="I24" s="16">
        <f t="shared" si="0"/>
        <v>1289</v>
      </c>
      <c r="J24" s="16">
        <f t="shared" si="0"/>
        <v>126805</v>
      </c>
    </row>
    <row r="25" spans="1:10" x14ac:dyDescent="0.25">
      <c r="A25" s="11" t="s">
        <v>17</v>
      </c>
      <c r="B25" s="20">
        <v>2157</v>
      </c>
      <c r="C25" s="20">
        <v>1525</v>
      </c>
      <c r="D25" s="20">
        <v>372</v>
      </c>
      <c r="E25" s="20">
        <v>194</v>
      </c>
      <c r="F25" s="20">
        <v>1966</v>
      </c>
      <c r="G25" s="20">
        <v>1019</v>
      </c>
      <c r="H25" s="19">
        <v>7233</v>
      </c>
      <c r="I25" s="20">
        <v>90</v>
      </c>
      <c r="J25" s="21">
        <v>7323</v>
      </c>
    </row>
    <row r="26" spans="1:10" x14ac:dyDescent="0.25">
      <c r="A26" s="11" t="s">
        <v>18</v>
      </c>
      <c r="B26" s="20">
        <v>7715</v>
      </c>
      <c r="C26" s="20">
        <v>6345</v>
      </c>
      <c r="D26" s="20">
        <v>991</v>
      </c>
      <c r="E26" s="20">
        <v>416</v>
      </c>
      <c r="F26" s="20">
        <v>4703</v>
      </c>
      <c r="G26" s="20">
        <v>3209</v>
      </c>
      <c r="H26" s="19">
        <v>23379</v>
      </c>
      <c r="I26" s="20">
        <v>141</v>
      </c>
      <c r="J26" s="21">
        <v>23520</v>
      </c>
    </row>
    <row r="27" spans="1:10" x14ac:dyDescent="0.25">
      <c r="A27" s="11" t="s">
        <v>19</v>
      </c>
      <c r="B27" s="20">
        <v>22148</v>
      </c>
      <c r="C27" s="20">
        <v>15336</v>
      </c>
      <c r="D27" s="20">
        <v>3921</v>
      </c>
      <c r="E27" s="20">
        <v>1194</v>
      </c>
      <c r="F27" s="20">
        <v>15804</v>
      </c>
      <c r="G27" s="20">
        <v>8972</v>
      </c>
      <c r="H27" s="19">
        <v>67375</v>
      </c>
      <c r="I27" s="20">
        <v>679</v>
      </c>
      <c r="J27" s="21">
        <v>68054</v>
      </c>
    </row>
    <row r="28" spans="1:10" x14ac:dyDescent="0.25">
      <c r="A28" s="11" t="s">
        <v>20</v>
      </c>
      <c r="B28" s="20">
        <v>40166</v>
      </c>
      <c r="C28" s="20">
        <v>21532</v>
      </c>
      <c r="D28" s="20">
        <v>12108</v>
      </c>
      <c r="E28" s="20">
        <v>1921</v>
      </c>
      <c r="F28" s="20">
        <v>19826</v>
      </c>
      <c r="G28" s="20">
        <v>12874</v>
      </c>
      <c r="H28" s="19">
        <v>108427</v>
      </c>
      <c r="I28" s="20">
        <v>1162</v>
      </c>
      <c r="J28" s="21">
        <v>109589</v>
      </c>
    </row>
    <row r="29" spans="1:10" x14ac:dyDescent="0.25">
      <c r="A29" s="11" t="s">
        <v>21</v>
      </c>
      <c r="B29" s="20">
        <v>65151</v>
      </c>
      <c r="C29" s="20">
        <v>28150</v>
      </c>
      <c r="D29" s="20">
        <v>16669</v>
      </c>
      <c r="E29" s="20">
        <v>5353</v>
      </c>
      <c r="F29" s="20">
        <v>21643</v>
      </c>
      <c r="G29" s="20">
        <v>11243</v>
      </c>
      <c r="H29" s="19">
        <v>148209</v>
      </c>
      <c r="I29" s="20">
        <v>1755</v>
      </c>
      <c r="J29" s="21">
        <v>149964</v>
      </c>
    </row>
    <row r="30" spans="1:10" x14ac:dyDescent="0.25">
      <c r="A30" s="11" t="s">
        <v>22</v>
      </c>
      <c r="B30" s="20">
        <v>102028</v>
      </c>
      <c r="C30" s="20">
        <v>59599</v>
      </c>
      <c r="D30" s="20">
        <v>8823</v>
      </c>
      <c r="E30" s="20">
        <v>6508</v>
      </c>
      <c r="F30" s="20">
        <v>12752</v>
      </c>
      <c r="G30" s="20">
        <v>12144</v>
      </c>
      <c r="H30" s="19">
        <v>201854</v>
      </c>
      <c r="I30" s="20">
        <v>2175</v>
      </c>
      <c r="J30" s="21">
        <v>204029</v>
      </c>
    </row>
    <row r="31" spans="1:10" x14ac:dyDescent="0.25">
      <c r="A31" s="11" t="s">
        <v>23</v>
      </c>
      <c r="B31" s="20">
        <v>41507</v>
      </c>
      <c r="C31" s="20">
        <v>21333</v>
      </c>
      <c r="D31" s="20">
        <v>4421</v>
      </c>
      <c r="E31" s="20">
        <v>14888</v>
      </c>
      <c r="F31" s="20">
        <v>12488</v>
      </c>
      <c r="G31" s="20">
        <v>4288</v>
      </c>
      <c r="H31" s="19">
        <v>98925</v>
      </c>
      <c r="I31" s="20">
        <v>519</v>
      </c>
      <c r="J31" s="21">
        <v>99444</v>
      </c>
    </row>
    <row r="32" spans="1:10" x14ac:dyDescent="0.25">
      <c r="A32" s="11" t="s">
        <v>24</v>
      </c>
      <c r="B32" s="20">
        <v>19123</v>
      </c>
      <c r="C32" s="20">
        <v>8048</v>
      </c>
      <c r="D32" s="20">
        <v>1593</v>
      </c>
      <c r="E32" s="20">
        <v>4105</v>
      </c>
      <c r="F32" s="20">
        <v>305</v>
      </c>
      <c r="G32" s="20">
        <v>1379</v>
      </c>
      <c r="H32" s="19">
        <v>34553</v>
      </c>
      <c r="I32" s="20">
        <v>14</v>
      </c>
      <c r="J32" s="21">
        <v>34567</v>
      </c>
    </row>
    <row r="33" spans="1:10" x14ac:dyDescent="0.25">
      <c r="A33" s="11" t="s">
        <v>25</v>
      </c>
      <c r="B33" s="20">
        <v>15766</v>
      </c>
      <c r="C33" s="20">
        <v>7293</v>
      </c>
      <c r="D33" s="20">
        <v>1205</v>
      </c>
      <c r="E33" s="20">
        <v>1450</v>
      </c>
      <c r="F33" s="20">
        <v>790</v>
      </c>
      <c r="G33" s="20">
        <v>1726</v>
      </c>
      <c r="H33" s="19">
        <v>28230</v>
      </c>
      <c r="I33" s="20">
        <v>0</v>
      </c>
      <c r="J33" s="21">
        <v>28230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3</v>
      </c>
      <c r="G34" s="20">
        <v>0</v>
      </c>
      <c r="H34" s="19">
        <v>3</v>
      </c>
      <c r="I34" s="20">
        <v>0</v>
      </c>
      <c r="J34" s="21">
        <v>3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315761</v>
      </c>
      <c r="C36" s="16">
        <f t="shared" ref="C36:J36" si="1">SUM(C25:C34)</f>
        <v>169161</v>
      </c>
      <c r="D36" s="16">
        <f t="shared" si="1"/>
        <v>50103</v>
      </c>
      <c r="E36" s="16">
        <f t="shared" si="1"/>
        <v>36029</v>
      </c>
      <c r="F36" s="16">
        <f t="shared" si="1"/>
        <v>90280</v>
      </c>
      <c r="G36" s="16">
        <f t="shared" si="1"/>
        <v>56854</v>
      </c>
      <c r="H36" s="16">
        <f t="shared" si="1"/>
        <v>718188</v>
      </c>
      <c r="I36" s="16">
        <f t="shared" si="1"/>
        <v>6535</v>
      </c>
      <c r="J36" s="16">
        <f t="shared" si="1"/>
        <v>724723</v>
      </c>
    </row>
    <row r="37" spans="1:10" ht="30" customHeight="1" thickTop="1" thickBot="1" x14ac:dyDescent="0.3">
      <c r="A37" s="7" t="s">
        <v>27</v>
      </c>
      <c r="B37" s="17">
        <f>SUM(B24,B36)</f>
        <v>359035</v>
      </c>
      <c r="C37" s="17">
        <f t="shared" ref="C37:J37" si="2">SUM(C24,C36)</f>
        <v>204544</v>
      </c>
      <c r="D37" s="17">
        <f t="shared" si="2"/>
        <v>64117</v>
      </c>
      <c r="E37" s="17">
        <f t="shared" si="2"/>
        <v>39892</v>
      </c>
      <c r="F37" s="17">
        <f t="shared" si="2"/>
        <v>104735</v>
      </c>
      <c r="G37" s="17">
        <f t="shared" si="2"/>
        <v>71381</v>
      </c>
      <c r="H37" s="17">
        <f t="shared" si="2"/>
        <v>843704</v>
      </c>
      <c r="I37" s="17">
        <f t="shared" si="2"/>
        <v>7824</v>
      </c>
      <c r="J37" s="17">
        <f t="shared" si="2"/>
        <v>851528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45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60</v>
      </c>
      <c r="C9" s="20">
        <v>38</v>
      </c>
      <c r="D9" s="20">
        <v>21</v>
      </c>
      <c r="E9" s="20">
        <v>4</v>
      </c>
      <c r="F9" s="20">
        <v>38</v>
      </c>
      <c r="G9" s="20">
        <v>28</v>
      </c>
      <c r="H9" s="19">
        <v>189</v>
      </c>
      <c r="I9" s="20">
        <v>1</v>
      </c>
      <c r="J9" s="21">
        <v>190</v>
      </c>
    </row>
    <row r="10" spans="1:10" x14ac:dyDescent="0.25">
      <c r="A10" s="11" t="s">
        <v>4</v>
      </c>
      <c r="B10" s="20">
        <v>166</v>
      </c>
      <c r="C10" s="20">
        <v>71</v>
      </c>
      <c r="D10" s="20">
        <v>36</v>
      </c>
      <c r="E10" s="20">
        <v>6</v>
      </c>
      <c r="F10" s="20">
        <v>116</v>
      </c>
      <c r="G10" s="20">
        <v>59</v>
      </c>
      <c r="H10" s="19">
        <v>454</v>
      </c>
      <c r="I10" s="20">
        <v>1</v>
      </c>
      <c r="J10" s="21">
        <v>455</v>
      </c>
    </row>
    <row r="11" spans="1:10" x14ac:dyDescent="0.25">
      <c r="A11" s="11" t="s">
        <v>5</v>
      </c>
      <c r="B11" s="20">
        <v>1509</v>
      </c>
      <c r="C11" s="20">
        <v>1782</v>
      </c>
      <c r="D11" s="20">
        <v>1367</v>
      </c>
      <c r="E11" s="20">
        <v>323</v>
      </c>
      <c r="F11" s="20">
        <v>1008</v>
      </c>
      <c r="G11" s="20">
        <v>1072</v>
      </c>
      <c r="H11" s="19">
        <v>7061</v>
      </c>
      <c r="I11" s="20">
        <v>39</v>
      </c>
      <c r="J11" s="21">
        <v>7100</v>
      </c>
    </row>
    <row r="12" spans="1:10" x14ac:dyDescent="0.25">
      <c r="A12" s="11" t="s">
        <v>6</v>
      </c>
      <c r="B12" s="20">
        <v>3932</v>
      </c>
      <c r="C12" s="20">
        <v>6058</v>
      </c>
      <c r="D12" s="20">
        <v>3276</v>
      </c>
      <c r="E12" s="20">
        <v>1002</v>
      </c>
      <c r="F12" s="20">
        <v>4083</v>
      </c>
      <c r="G12" s="20">
        <v>4533</v>
      </c>
      <c r="H12" s="19">
        <v>22884</v>
      </c>
      <c r="I12" s="20">
        <v>196</v>
      </c>
      <c r="J12" s="21">
        <v>23080</v>
      </c>
    </row>
    <row r="13" spans="1:10" x14ac:dyDescent="0.25">
      <c r="A13" s="11" t="s">
        <v>7</v>
      </c>
      <c r="B13" s="20">
        <v>6372</v>
      </c>
      <c r="C13" s="20">
        <v>6808</v>
      </c>
      <c r="D13" s="20">
        <v>4234</v>
      </c>
      <c r="E13" s="20">
        <v>1102</v>
      </c>
      <c r="F13" s="20">
        <v>3789</v>
      </c>
      <c r="G13" s="20">
        <v>4781</v>
      </c>
      <c r="H13" s="19">
        <v>27086</v>
      </c>
      <c r="I13" s="20">
        <v>261</v>
      </c>
      <c r="J13" s="21">
        <v>27347</v>
      </c>
    </row>
    <row r="14" spans="1:10" x14ac:dyDescent="0.25">
      <c r="A14" s="11" t="s">
        <v>8</v>
      </c>
      <c r="B14" s="20">
        <v>9942</v>
      </c>
      <c r="C14" s="20">
        <v>10295</v>
      </c>
      <c r="D14" s="20">
        <v>3241</v>
      </c>
      <c r="E14" s="20">
        <v>734</v>
      </c>
      <c r="F14" s="20">
        <v>3339</v>
      </c>
      <c r="G14" s="20">
        <v>3243</v>
      </c>
      <c r="H14" s="19">
        <v>30794</v>
      </c>
      <c r="I14" s="20">
        <v>456</v>
      </c>
      <c r="J14" s="21">
        <v>31250</v>
      </c>
    </row>
    <row r="15" spans="1:10" x14ac:dyDescent="0.25">
      <c r="A15" s="11" t="s">
        <v>9</v>
      </c>
      <c r="B15" s="20">
        <v>7796</v>
      </c>
      <c r="C15" s="20">
        <v>4776</v>
      </c>
      <c r="D15" s="20">
        <v>978</v>
      </c>
      <c r="E15" s="20">
        <v>185</v>
      </c>
      <c r="F15" s="20">
        <v>1113</v>
      </c>
      <c r="G15" s="20">
        <v>449</v>
      </c>
      <c r="H15" s="19">
        <v>15297</v>
      </c>
      <c r="I15" s="20">
        <v>141</v>
      </c>
      <c r="J15" s="21">
        <v>15438</v>
      </c>
    </row>
    <row r="16" spans="1:10" x14ac:dyDescent="0.25">
      <c r="A16" s="11" t="s">
        <v>10</v>
      </c>
      <c r="B16" s="20">
        <v>5292</v>
      </c>
      <c r="C16" s="20">
        <v>2310</v>
      </c>
      <c r="D16" s="20">
        <v>825</v>
      </c>
      <c r="E16" s="20">
        <v>193</v>
      </c>
      <c r="F16" s="20">
        <v>1049</v>
      </c>
      <c r="G16" s="20">
        <v>395</v>
      </c>
      <c r="H16" s="19">
        <v>10064</v>
      </c>
      <c r="I16" s="20">
        <v>39</v>
      </c>
      <c r="J16" s="21">
        <v>10103</v>
      </c>
    </row>
    <row r="17" spans="1:10" x14ac:dyDescent="0.25">
      <c r="A17" s="11" t="s">
        <v>11</v>
      </c>
      <c r="B17" s="20">
        <v>370</v>
      </c>
      <c r="C17" s="20">
        <v>94</v>
      </c>
      <c r="D17" s="20">
        <v>0</v>
      </c>
      <c r="E17" s="20">
        <v>14</v>
      </c>
      <c r="F17" s="20">
        <v>0</v>
      </c>
      <c r="G17" s="20">
        <v>0</v>
      </c>
      <c r="H17" s="19">
        <v>478</v>
      </c>
      <c r="I17" s="20">
        <v>0</v>
      </c>
      <c r="J17" s="21">
        <v>478</v>
      </c>
    </row>
    <row r="18" spans="1:10" x14ac:dyDescent="0.25">
      <c r="A18" s="11" t="s">
        <v>12</v>
      </c>
      <c r="B18" s="20">
        <v>1386</v>
      </c>
      <c r="C18" s="20">
        <v>582</v>
      </c>
      <c r="D18" s="20">
        <v>22</v>
      </c>
      <c r="E18" s="20">
        <v>43</v>
      </c>
      <c r="F18" s="20">
        <v>0</v>
      </c>
      <c r="G18" s="20">
        <v>0</v>
      </c>
      <c r="H18" s="19">
        <v>2033</v>
      </c>
      <c r="I18" s="20">
        <v>31</v>
      </c>
      <c r="J18" s="21">
        <v>2064</v>
      </c>
    </row>
    <row r="19" spans="1:10" x14ac:dyDescent="0.25">
      <c r="A19" s="11" t="s">
        <v>13</v>
      </c>
      <c r="B19" s="20">
        <v>1729</v>
      </c>
      <c r="C19" s="20">
        <v>585</v>
      </c>
      <c r="D19" s="20">
        <v>34</v>
      </c>
      <c r="E19" s="20">
        <v>88</v>
      </c>
      <c r="F19" s="20">
        <v>0</v>
      </c>
      <c r="G19" s="20">
        <v>0</v>
      </c>
      <c r="H19" s="19">
        <v>2436</v>
      </c>
      <c r="I19" s="20">
        <v>34</v>
      </c>
      <c r="J19" s="21">
        <v>2470</v>
      </c>
    </row>
    <row r="20" spans="1:10" x14ac:dyDescent="0.25">
      <c r="A20" s="11" t="s">
        <v>14</v>
      </c>
      <c r="B20" s="20">
        <v>3371</v>
      </c>
      <c r="C20" s="20">
        <v>1380</v>
      </c>
      <c r="D20" s="20">
        <v>47</v>
      </c>
      <c r="E20" s="20">
        <v>135</v>
      </c>
      <c r="F20" s="20">
        <v>0</v>
      </c>
      <c r="G20" s="20">
        <v>0</v>
      </c>
      <c r="H20" s="19">
        <v>4933</v>
      </c>
      <c r="I20" s="20">
        <v>83</v>
      </c>
      <c r="J20" s="21">
        <v>5016</v>
      </c>
    </row>
    <row r="21" spans="1:10" x14ac:dyDescent="0.25">
      <c r="A21" s="11" t="s">
        <v>15</v>
      </c>
      <c r="B21" s="20">
        <v>1376</v>
      </c>
      <c r="C21" s="20">
        <v>575</v>
      </c>
      <c r="D21" s="20">
        <v>0</v>
      </c>
      <c r="E21" s="20">
        <v>31</v>
      </c>
      <c r="F21" s="20">
        <v>0</v>
      </c>
      <c r="G21" s="20">
        <v>0</v>
      </c>
      <c r="H21" s="19">
        <v>1982</v>
      </c>
      <c r="I21" s="20">
        <v>0</v>
      </c>
      <c r="J21" s="21">
        <v>1982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0</v>
      </c>
      <c r="H22" s="19">
        <v>3</v>
      </c>
      <c r="I22" s="20">
        <v>0</v>
      </c>
      <c r="J22" s="21">
        <v>3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43303</v>
      </c>
      <c r="C24" s="16">
        <f t="shared" ref="C24:J24" si="0">SUM(C7:C22)</f>
        <v>35354</v>
      </c>
      <c r="D24" s="16">
        <f t="shared" si="0"/>
        <v>14082</v>
      </c>
      <c r="E24" s="16">
        <f t="shared" si="0"/>
        <v>3860</v>
      </c>
      <c r="F24" s="16">
        <f t="shared" si="0"/>
        <v>14539</v>
      </c>
      <c r="G24" s="16">
        <f t="shared" si="0"/>
        <v>14560</v>
      </c>
      <c r="H24" s="16">
        <f t="shared" si="0"/>
        <v>125698</v>
      </c>
      <c r="I24" s="16">
        <f t="shared" si="0"/>
        <v>1282</v>
      </c>
      <c r="J24" s="16">
        <f t="shared" si="0"/>
        <v>126980</v>
      </c>
    </row>
    <row r="25" spans="1:10" x14ac:dyDescent="0.25">
      <c r="A25" s="11" t="s">
        <v>17</v>
      </c>
      <c r="B25" s="20">
        <v>2146</v>
      </c>
      <c r="C25" s="20">
        <v>1501</v>
      </c>
      <c r="D25" s="20">
        <v>366</v>
      </c>
      <c r="E25" s="20">
        <v>193</v>
      </c>
      <c r="F25" s="20">
        <v>1973</v>
      </c>
      <c r="G25" s="20">
        <v>1014</v>
      </c>
      <c r="H25" s="19">
        <v>7193</v>
      </c>
      <c r="I25" s="20">
        <v>91</v>
      </c>
      <c r="J25" s="21">
        <v>7284</v>
      </c>
    </row>
    <row r="26" spans="1:10" x14ac:dyDescent="0.25">
      <c r="A26" s="11" t="s">
        <v>18</v>
      </c>
      <c r="B26" s="20">
        <v>7737</v>
      </c>
      <c r="C26" s="20">
        <v>6382</v>
      </c>
      <c r="D26" s="20">
        <v>990</v>
      </c>
      <c r="E26" s="20">
        <v>412</v>
      </c>
      <c r="F26" s="20">
        <v>4695</v>
      </c>
      <c r="G26" s="20">
        <v>3209</v>
      </c>
      <c r="H26" s="19">
        <v>23425</v>
      </c>
      <c r="I26" s="20">
        <v>142</v>
      </c>
      <c r="J26" s="21">
        <v>23567</v>
      </c>
    </row>
    <row r="27" spans="1:10" x14ac:dyDescent="0.25">
      <c r="A27" s="11" t="s">
        <v>19</v>
      </c>
      <c r="B27" s="20">
        <v>22253</v>
      </c>
      <c r="C27" s="20">
        <v>15215</v>
      </c>
      <c r="D27" s="20">
        <v>3930</v>
      </c>
      <c r="E27" s="20">
        <v>1203</v>
      </c>
      <c r="F27" s="20">
        <v>15881</v>
      </c>
      <c r="G27" s="20">
        <v>8938</v>
      </c>
      <c r="H27" s="19">
        <v>67420</v>
      </c>
      <c r="I27" s="20">
        <v>692</v>
      </c>
      <c r="J27" s="21">
        <v>68112</v>
      </c>
    </row>
    <row r="28" spans="1:10" x14ac:dyDescent="0.25">
      <c r="A28" s="11" t="s">
        <v>20</v>
      </c>
      <c r="B28" s="20">
        <v>39939</v>
      </c>
      <c r="C28" s="20">
        <v>21530</v>
      </c>
      <c r="D28" s="20">
        <v>12027</v>
      </c>
      <c r="E28" s="20">
        <v>1902</v>
      </c>
      <c r="F28" s="20">
        <v>19771</v>
      </c>
      <c r="G28" s="20">
        <v>12843</v>
      </c>
      <c r="H28" s="19">
        <v>108012</v>
      </c>
      <c r="I28" s="20">
        <v>1156</v>
      </c>
      <c r="J28" s="21">
        <v>109168</v>
      </c>
    </row>
    <row r="29" spans="1:10" x14ac:dyDescent="0.25">
      <c r="A29" s="11" t="s">
        <v>21</v>
      </c>
      <c r="B29" s="20">
        <v>64986</v>
      </c>
      <c r="C29" s="20">
        <v>28125</v>
      </c>
      <c r="D29" s="20">
        <v>16670</v>
      </c>
      <c r="E29" s="20">
        <v>5206</v>
      </c>
      <c r="F29" s="20">
        <v>21405</v>
      </c>
      <c r="G29" s="20">
        <v>11115</v>
      </c>
      <c r="H29" s="19">
        <v>147507</v>
      </c>
      <c r="I29" s="20">
        <v>1754</v>
      </c>
      <c r="J29" s="21">
        <v>149261</v>
      </c>
    </row>
    <row r="30" spans="1:10" x14ac:dyDescent="0.25">
      <c r="A30" s="11" t="s">
        <v>22</v>
      </c>
      <c r="B30" s="20">
        <v>101799</v>
      </c>
      <c r="C30" s="20">
        <v>59569</v>
      </c>
      <c r="D30" s="20">
        <v>8807</v>
      </c>
      <c r="E30" s="20">
        <v>6492</v>
      </c>
      <c r="F30" s="20">
        <v>12840</v>
      </c>
      <c r="G30" s="20">
        <v>12287</v>
      </c>
      <c r="H30" s="19">
        <v>201794</v>
      </c>
      <c r="I30" s="20">
        <v>2192</v>
      </c>
      <c r="J30" s="21">
        <v>203986</v>
      </c>
    </row>
    <row r="31" spans="1:10" x14ac:dyDescent="0.25">
      <c r="A31" s="11" t="s">
        <v>23</v>
      </c>
      <c r="B31" s="20">
        <v>41491</v>
      </c>
      <c r="C31" s="20">
        <v>21355</v>
      </c>
      <c r="D31" s="20">
        <v>4452</v>
      </c>
      <c r="E31" s="20">
        <v>15357</v>
      </c>
      <c r="F31" s="20">
        <v>12331</v>
      </c>
      <c r="G31" s="20">
        <v>4280</v>
      </c>
      <c r="H31" s="19">
        <v>99266</v>
      </c>
      <c r="I31" s="20">
        <v>514</v>
      </c>
      <c r="J31" s="21">
        <v>99780</v>
      </c>
    </row>
    <row r="32" spans="1:10" x14ac:dyDescent="0.25">
      <c r="A32" s="11" t="s">
        <v>24</v>
      </c>
      <c r="B32" s="20">
        <v>19328</v>
      </c>
      <c r="C32" s="20">
        <v>7946</v>
      </c>
      <c r="D32" s="20">
        <v>1533</v>
      </c>
      <c r="E32" s="20">
        <v>3599</v>
      </c>
      <c r="F32" s="20">
        <v>311</v>
      </c>
      <c r="G32" s="20">
        <v>1397</v>
      </c>
      <c r="H32" s="19">
        <v>34114</v>
      </c>
      <c r="I32" s="20">
        <v>13</v>
      </c>
      <c r="J32" s="21">
        <v>34127</v>
      </c>
    </row>
    <row r="33" spans="1:10" x14ac:dyDescent="0.25">
      <c r="A33" s="11" t="s">
        <v>25</v>
      </c>
      <c r="B33" s="20">
        <v>16018</v>
      </c>
      <c r="C33" s="20">
        <v>7360</v>
      </c>
      <c r="D33" s="20">
        <v>1130</v>
      </c>
      <c r="E33" s="20">
        <v>1620</v>
      </c>
      <c r="F33" s="20">
        <v>877</v>
      </c>
      <c r="G33" s="20">
        <v>1728</v>
      </c>
      <c r="H33" s="19">
        <v>28733</v>
      </c>
      <c r="I33" s="20">
        <v>0</v>
      </c>
      <c r="J33" s="21">
        <v>28733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13</v>
      </c>
      <c r="G34" s="20">
        <v>3</v>
      </c>
      <c r="H34" s="19">
        <v>16</v>
      </c>
      <c r="I34" s="20">
        <v>0</v>
      </c>
      <c r="J34" s="21">
        <v>16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315697</v>
      </c>
      <c r="C36" s="16">
        <f t="shared" ref="C36:J36" si="1">SUM(C25:C34)</f>
        <v>168983</v>
      </c>
      <c r="D36" s="16">
        <f t="shared" si="1"/>
        <v>49905</v>
      </c>
      <c r="E36" s="16">
        <f t="shared" si="1"/>
        <v>35984</v>
      </c>
      <c r="F36" s="16">
        <f t="shared" si="1"/>
        <v>90097</v>
      </c>
      <c r="G36" s="16">
        <f t="shared" si="1"/>
        <v>56814</v>
      </c>
      <c r="H36" s="16">
        <f t="shared" si="1"/>
        <v>717480</v>
      </c>
      <c r="I36" s="16">
        <f t="shared" si="1"/>
        <v>6554</v>
      </c>
      <c r="J36" s="16">
        <f t="shared" si="1"/>
        <v>724034</v>
      </c>
    </row>
    <row r="37" spans="1:10" ht="30" customHeight="1" thickTop="1" thickBot="1" x14ac:dyDescent="0.3">
      <c r="A37" s="7" t="s">
        <v>27</v>
      </c>
      <c r="B37" s="17">
        <f>SUM(B24,B36)</f>
        <v>359000</v>
      </c>
      <c r="C37" s="17">
        <f t="shared" ref="C37:J37" si="2">SUM(C24,C36)</f>
        <v>204337</v>
      </c>
      <c r="D37" s="17">
        <f t="shared" si="2"/>
        <v>63987</v>
      </c>
      <c r="E37" s="17">
        <f t="shared" si="2"/>
        <v>39844</v>
      </c>
      <c r="F37" s="17">
        <f t="shared" si="2"/>
        <v>104636</v>
      </c>
      <c r="G37" s="17">
        <f t="shared" si="2"/>
        <v>71374</v>
      </c>
      <c r="H37" s="17">
        <f t="shared" si="2"/>
        <v>843178</v>
      </c>
      <c r="I37" s="17">
        <f t="shared" si="2"/>
        <v>7836</v>
      </c>
      <c r="J37" s="17">
        <f t="shared" si="2"/>
        <v>851014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46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61</v>
      </c>
      <c r="C9" s="20">
        <v>37</v>
      </c>
      <c r="D9" s="20">
        <v>21</v>
      </c>
      <c r="E9" s="20">
        <v>4</v>
      </c>
      <c r="F9" s="20">
        <v>35</v>
      </c>
      <c r="G9" s="20">
        <v>29</v>
      </c>
      <c r="H9" s="19">
        <v>187</v>
      </c>
      <c r="I9" s="20">
        <v>1</v>
      </c>
      <c r="J9" s="21">
        <v>188</v>
      </c>
    </row>
    <row r="10" spans="1:10" x14ac:dyDescent="0.25">
      <c r="A10" s="11" t="s">
        <v>4</v>
      </c>
      <c r="B10" s="20">
        <v>168</v>
      </c>
      <c r="C10" s="20">
        <v>71</v>
      </c>
      <c r="D10" s="20">
        <v>36</v>
      </c>
      <c r="E10" s="20">
        <v>6</v>
      </c>
      <c r="F10" s="20">
        <v>113</v>
      </c>
      <c r="G10" s="20">
        <v>58</v>
      </c>
      <c r="H10" s="19">
        <v>452</v>
      </c>
      <c r="I10" s="20">
        <v>2</v>
      </c>
      <c r="J10" s="21">
        <v>454</v>
      </c>
    </row>
    <row r="11" spans="1:10" x14ac:dyDescent="0.25">
      <c r="A11" s="11" t="s">
        <v>5</v>
      </c>
      <c r="B11" s="20">
        <v>1492</v>
      </c>
      <c r="C11" s="20">
        <v>1796</v>
      </c>
      <c r="D11" s="20">
        <v>1366</v>
      </c>
      <c r="E11" s="20">
        <v>320</v>
      </c>
      <c r="F11" s="20">
        <v>996</v>
      </c>
      <c r="G11" s="20">
        <v>1110</v>
      </c>
      <c r="H11" s="19">
        <v>7080</v>
      </c>
      <c r="I11" s="20">
        <v>37</v>
      </c>
      <c r="J11" s="21">
        <v>7117</v>
      </c>
    </row>
    <row r="12" spans="1:10" x14ac:dyDescent="0.25">
      <c r="A12" s="11" t="s">
        <v>6</v>
      </c>
      <c r="B12" s="20">
        <v>3953</v>
      </c>
      <c r="C12" s="20">
        <v>6047</v>
      </c>
      <c r="D12" s="20">
        <v>3272</v>
      </c>
      <c r="E12" s="20">
        <v>1010</v>
      </c>
      <c r="F12" s="20">
        <v>4136</v>
      </c>
      <c r="G12" s="20">
        <v>4476</v>
      </c>
      <c r="H12" s="19">
        <v>22894</v>
      </c>
      <c r="I12" s="20">
        <v>196</v>
      </c>
      <c r="J12" s="21">
        <v>23090</v>
      </c>
    </row>
    <row r="13" spans="1:10" x14ac:dyDescent="0.25">
      <c r="A13" s="11" t="s">
        <v>7</v>
      </c>
      <c r="B13" s="20">
        <v>6365</v>
      </c>
      <c r="C13" s="20">
        <v>6680</v>
      </c>
      <c r="D13" s="20">
        <v>4228</v>
      </c>
      <c r="E13" s="20">
        <v>1102</v>
      </c>
      <c r="F13" s="20">
        <v>3870</v>
      </c>
      <c r="G13" s="20">
        <v>4841</v>
      </c>
      <c r="H13" s="19">
        <v>27086</v>
      </c>
      <c r="I13" s="20">
        <v>248</v>
      </c>
      <c r="J13" s="21">
        <v>27334</v>
      </c>
    </row>
    <row r="14" spans="1:10" x14ac:dyDescent="0.25">
      <c r="A14" s="11" t="s">
        <v>8</v>
      </c>
      <c r="B14" s="20">
        <v>10060</v>
      </c>
      <c r="C14" s="20">
        <v>10335</v>
      </c>
      <c r="D14" s="20">
        <v>3318</v>
      </c>
      <c r="E14" s="20">
        <v>756</v>
      </c>
      <c r="F14" s="20">
        <v>3309</v>
      </c>
      <c r="G14" s="20">
        <v>3237</v>
      </c>
      <c r="H14" s="19">
        <v>31015</v>
      </c>
      <c r="I14" s="20">
        <v>466</v>
      </c>
      <c r="J14" s="21">
        <v>31481</v>
      </c>
    </row>
    <row r="15" spans="1:10" x14ac:dyDescent="0.25">
      <c r="A15" s="11" t="s">
        <v>9</v>
      </c>
      <c r="B15" s="20">
        <v>7660</v>
      </c>
      <c r="C15" s="20">
        <v>4802</v>
      </c>
      <c r="D15" s="20">
        <v>961</v>
      </c>
      <c r="E15" s="20">
        <v>165</v>
      </c>
      <c r="F15" s="20">
        <v>1111</v>
      </c>
      <c r="G15" s="20">
        <v>429</v>
      </c>
      <c r="H15" s="19">
        <v>15128</v>
      </c>
      <c r="I15" s="20">
        <v>141</v>
      </c>
      <c r="J15" s="21">
        <v>15269</v>
      </c>
    </row>
    <row r="16" spans="1:10" x14ac:dyDescent="0.25">
      <c r="A16" s="11" t="s">
        <v>10</v>
      </c>
      <c r="B16" s="20">
        <v>5253</v>
      </c>
      <c r="C16" s="20">
        <v>2270</v>
      </c>
      <c r="D16" s="20">
        <v>814</v>
      </c>
      <c r="E16" s="20">
        <v>241</v>
      </c>
      <c r="F16" s="20">
        <v>978</v>
      </c>
      <c r="G16" s="20">
        <v>393</v>
      </c>
      <c r="H16" s="19">
        <v>9949</v>
      </c>
      <c r="I16" s="20">
        <v>39</v>
      </c>
      <c r="J16" s="21">
        <v>9988</v>
      </c>
    </row>
    <row r="17" spans="1:10" x14ac:dyDescent="0.25">
      <c r="A17" s="11" t="s">
        <v>11</v>
      </c>
      <c r="B17" s="20">
        <v>364</v>
      </c>
      <c r="C17" s="20">
        <v>92</v>
      </c>
      <c r="D17" s="20">
        <v>0</v>
      </c>
      <c r="E17" s="20">
        <v>13</v>
      </c>
      <c r="F17" s="20">
        <v>0</v>
      </c>
      <c r="G17" s="20">
        <v>0</v>
      </c>
      <c r="H17" s="19">
        <v>469</v>
      </c>
      <c r="I17" s="20">
        <v>0</v>
      </c>
      <c r="J17" s="21">
        <v>469</v>
      </c>
    </row>
    <row r="18" spans="1:10" x14ac:dyDescent="0.25">
      <c r="A18" s="11" t="s">
        <v>12</v>
      </c>
      <c r="B18" s="20">
        <v>1385</v>
      </c>
      <c r="C18" s="20">
        <v>589</v>
      </c>
      <c r="D18" s="20">
        <v>22</v>
      </c>
      <c r="E18" s="20">
        <v>42</v>
      </c>
      <c r="F18" s="20">
        <v>0</v>
      </c>
      <c r="G18" s="20">
        <v>0</v>
      </c>
      <c r="H18" s="19">
        <v>2038</v>
      </c>
      <c r="I18" s="20">
        <v>31</v>
      </c>
      <c r="J18" s="21">
        <v>2069</v>
      </c>
    </row>
    <row r="19" spans="1:10" x14ac:dyDescent="0.25">
      <c r="A19" s="11" t="s">
        <v>13</v>
      </c>
      <c r="B19" s="20">
        <v>1716</v>
      </c>
      <c r="C19" s="20">
        <v>577</v>
      </c>
      <c r="D19" s="20">
        <v>33</v>
      </c>
      <c r="E19" s="20">
        <v>87</v>
      </c>
      <c r="F19" s="20">
        <v>0</v>
      </c>
      <c r="G19" s="20">
        <v>0</v>
      </c>
      <c r="H19" s="19">
        <v>2413</v>
      </c>
      <c r="I19" s="20">
        <v>35</v>
      </c>
      <c r="J19" s="21">
        <v>2448</v>
      </c>
    </row>
    <row r="20" spans="1:10" x14ac:dyDescent="0.25">
      <c r="A20" s="11" t="s">
        <v>14</v>
      </c>
      <c r="B20" s="20">
        <v>3395</v>
      </c>
      <c r="C20" s="20">
        <v>1420</v>
      </c>
      <c r="D20" s="20">
        <v>47</v>
      </c>
      <c r="E20" s="20">
        <v>135</v>
      </c>
      <c r="F20" s="20">
        <v>0</v>
      </c>
      <c r="G20" s="20">
        <v>0</v>
      </c>
      <c r="H20" s="19">
        <v>4997</v>
      </c>
      <c r="I20" s="20">
        <v>84</v>
      </c>
      <c r="J20" s="21">
        <v>5081</v>
      </c>
    </row>
    <row r="21" spans="1:10" x14ac:dyDescent="0.25">
      <c r="A21" s="11" t="s">
        <v>15</v>
      </c>
      <c r="B21" s="20">
        <v>1341</v>
      </c>
      <c r="C21" s="20">
        <v>539</v>
      </c>
      <c r="D21" s="20">
        <v>0</v>
      </c>
      <c r="E21" s="20">
        <v>31</v>
      </c>
      <c r="F21" s="20">
        <v>0</v>
      </c>
      <c r="G21" s="20">
        <v>0</v>
      </c>
      <c r="H21" s="19">
        <v>1911</v>
      </c>
      <c r="I21" s="20">
        <v>0</v>
      </c>
      <c r="J21" s="21">
        <v>1911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0</v>
      </c>
      <c r="H22" s="19">
        <v>3</v>
      </c>
      <c r="I22" s="20">
        <v>0</v>
      </c>
      <c r="J22" s="21">
        <v>3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43215</v>
      </c>
      <c r="C24" s="16">
        <f t="shared" ref="C24:J24" si="0">SUM(C7:C22)</f>
        <v>35255</v>
      </c>
      <c r="D24" s="16">
        <f t="shared" si="0"/>
        <v>14119</v>
      </c>
      <c r="E24" s="16">
        <f t="shared" si="0"/>
        <v>3912</v>
      </c>
      <c r="F24" s="16">
        <f t="shared" si="0"/>
        <v>14552</v>
      </c>
      <c r="G24" s="16">
        <f t="shared" si="0"/>
        <v>14573</v>
      </c>
      <c r="H24" s="16">
        <f t="shared" si="0"/>
        <v>125626</v>
      </c>
      <c r="I24" s="16">
        <f t="shared" si="0"/>
        <v>1280</v>
      </c>
      <c r="J24" s="16">
        <f t="shared" si="0"/>
        <v>126906</v>
      </c>
    </row>
    <row r="25" spans="1:10" x14ac:dyDescent="0.25">
      <c r="A25" s="11" t="s">
        <v>17</v>
      </c>
      <c r="B25" s="20">
        <v>2137</v>
      </c>
      <c r="C25" s="20">
        <v>1494</v>
      </c>
      <c r="D25" s="20">
        <v>373</v>
      </c>
      <c r="E25" s="20">
        <v>197</v>
      </c>
      <c r="F25" s="20">
        <v>1972</v>
      </c>
      <c r="G25" s="20">
        <v>1017</v>
      </c>
      <c r="H25" s="19">
        <v>7190</v>
      </c>
      <c r="I25" s="20">
        <v>91</v>
      </c>
      <c r="J25" s="21">
        <v>7281</v>
      </c>
    </row>
    <row r="26" spans="1:10" x14ac:dyDescent="0.25">
      <c r="A26" s="11" t="s">
        <v>18</v>
      </c>
      <c r="B26" s="20">
        <v>7704</v>
      </c>
      <c r="C26" s="20">
        <v>6324</v>
      </c>
      <c r="D26" s="20">
        <v>993</v>
      </c>
      <c r="E26" s="20">
        <v>419</v>
      </c>
      <c r="F26" s="20">
        <v>4694</v>
      </c>
      <c r="G26" s="20">
        <v>3197</v>
      </c>
      <c r="H26" s="19">
        <v>23331</v>
      </c>
      <c r="I26" s="20">
        <v>141</v>
      </c>
      <c r="J26" s="21">
        <v>23472</v>
      </c>
    </row>
    <row r="27" spans="1:10" x14ac:dyDescent="0.25">
      <c r="A27" s="11" t="s">
        <v>19</v>
      </c>
      <c r="B27" s="20">
        <v>22334</v>
      </c>
      <c r="C27" s="20">
        <v>15435</v>
      </c>
      <c r="D27" s="20">
        <v>3956</v>
      </c>
      <c r="E27" s="20">
        <v>1206</v>
      </c>
      <c r="F27" s="20">
        <v>15896</v>
      </c>
      <c r="G27" s="20">
        <v>8923</v>
      </c>
      <c r="H27" s="19">
        <v>67750</v>
      </c>
      <c r="I27" s="20">
        <v>694</v>
      </c>
      <c r="J27" s="21">
        <v>68444</v>
      </c>
    </row>
    <row r="28" spans="1:10" x14ac:dyDescent="0.25">
      <c r="A28" s="11" t="s">
        <v>20</v>
      </c>
      <c r="B28" s="20">
        <v>39970</v>
      </c>
      <c r="C28" s="20">
        <v>21327</v>
      </c>
      <c r="D28" s="20">
        <v>12079</v>
      </c>
      <c r="E28" s="20">
        <v>1892</v>
      </c>
      <c r="F28" s="20">
        <v>19745</v>
      </c>
      <c r="G28" s="20">
        <v>12865</v>
      </c>
      <c r="H28" s="19">
        <v>107878</v>
      </c>
      <c r="I28" s="20">
        <v>1159</v>
      </c>
      <c r="J28" s="21">
        <v>109037</v>
      </c>
    </row>
    <row r="29" spans="1:10" x14ac:dyDescent="0.25">
      <c r="A29" s="11" t="s">
        <v>21</v>
      </c>
      <c r="B29" s="20">
        <v>64656</v>
      </c>
      <c r="C29" s="20">
        <v>27985</v>
      </c>
      <c r="D29" s="20">
        <v>16652</v>
      </c>
      <c r="E29" s="20">
        <v>5584</v>
      </c>
      <c r="F29" s="20">
        <v>21246</v>
      </c>
      <c r="G29" s="20">
        <v>10980</v>
      </c>
      <c r="H29" s="19">
        <v>147103</v>
      </c>
      <c r="I29" s="20">
        <v>1754</v>
      </c>
      <c r="J29" s="21">
        <v>148857</v>
      </c>
    </row>
    <row r="30" spans="1:10" x14ac:dyDescent="0.25">
      <c r="A30" s="11" t="s">
        <v>22</v>
      </c>
      <c r="B30" s="20">
        <v>101564</v>
      </c>
      <c r="C30" s="20">
        <v>59421</v>
      </c>
      <c r="D30" s="20">
        <v>8780</v>
      </c>
      <c r="E30" s="20">
        <v>6632</v>
      </c>
      <c r="F30" s="20">
        <v>12942</v>
      </c>
      <c r="G30" s="20">
        <v>12412</v>
      </c>
      <c r="H30" s="19">
        <v>201751</v>
      </c>
      <c r="I30" s="20">
        <v>2238</v>
      </c>
      <c r="J30" s="21">
        <v>203989</v>
      </c>
    </row>
    <row r="31" spans="1:10" x14ac:dyDescent="0.25">
      <c r="A31" s="11" t="s">
        <v>23</v>
      </c>
      <c r="B31" s="20">
        <v>41564</v>
      </c>
      <c r="C31" s="20">
        <v>21475</v>
      </c>
      <c r="D31" s="20">
        <v>4437</v>
      </c>
      <c r="E31" s="20">
        <v>14936</v>
      </c>
      <c r="F31" s="20">
        <v>12245</v>
      </c>
      <c r="G31" s="20">
        <v>4363</v>
      </c>
      <c r="H31" s="19">
        <v>99020</v>
      </c>
      <c r="I31" s="20">
        <v>463</v>
      </c>
      <c r="J31" s="21">
        <v>99483</v>
      </c>
    </row>
    <row r="32" spans="1:10" x14ac:dyDescent="0.25">
      <c r="A32" s="11" t="s">
        <v>24</v>
      </c>
      <c r="B32" s="20">
        <v>19204</v>
      </c>
      <c r="C32" s="20">
        <v>7615</v>
      </c>
      <c r="D32" s="20">
        <v>1535</v>
      </c>
      <c r="E32" s="20">
        <v>3553</v>
      </c>
      <c r="F32" s="20">
        <v>327</v>
      </c>
      <c r="G32" s="20">
        <v>1346</v>
      </c>
      <c r="H32" s="19">
        <v>33580</v>
      </c>
      <c r="I32" s="20">
        <v>12</v>
      </c>
      <c r="J32" s="21">
        <v>33592</v>
      </c>
    </row>
    <row r="33" spans="1:10" x14ac:dyDescent="0.25">
      <c r="A33" s="11" t="s">
        <v>25</v>
      </c>
      <c r="B33" s="20">
        <v>16116</v>
      </c>
      <c r="C33" s="20">
        <v>7422</v>
      </c>
      <c r="D33" s="20">
        <v>1134</v>
      </c>
      <c r="E33" s="20">
        <v>1493</v>
      </c>
      <c r="F33" s="20">
        <v>989</v>
      </c>
      <c r="G33" s="20">
        <v>1795</v>
      </c>
      <c r="H33" s="19">
        <v>28949</v>
      </c>
      <c r="I33" s="20">
        <v>0</v>
      </c>
      <c r="J33" s="21">
        <v>28949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11</v>
      </c>
      <c r="G34" s="20">
        <v>6</v>
      </c>
      <c r="H34" s="19">
        <v>17</v>
      </c>
      <c r="I34" s="20">
        <v>0</v>
      </c>
      <c r="J34" s="21">
        <v>17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315249</v>
      </c>
      <c r="C36" s="16">
        <f t="shared" ref="C36:J36" si="1">SUM(C25:C34)</f>
        <v>168498</v>
      </c>
      <c r="D36" s="16">
        <f t="shared" si="1"/>
        <v>49939</v>
      </c>
      <c r="E36" s="16">
        <f t="shared" si="1"/>
        <v>35912</v>
      </c>
      <c r="F36" s="16">
        <f t="shared" si="1"/>
        <v>90067</v>
      </c>
      <c r="G36" s="16">
        <f t="shared" si="1"/>
        <v>56904</v>
      </c>
      <c r="H36" s="16">
        <f t="shared" si="1"/>
        <v>716569</v>
      </c>
      <c r="I36" s="16">
        <f t="shared" si="1"/>
        <v>6552</v>
      </c>
      <c r="J36" s="16">
        <f t="shared" si="1"/>
        <v>723121</v>
      </c>
    </row>
    <row r="37" spans="1:10" ht="30" customHeight="1" thickTop="1" thickBot="1" x14ac:dyDescent="0.3">
      <c r="A37" s="7" t="s">
        <v>27</v>
      </c>
      <c r="B37" s="17">
        <f>SUM(B24,B36)</f>
        <v>358464</v>
      </c>
      <c r="C37" s="17">
        <f t="shared" ref="C37:J37" si="2">SUM(C24,C36)</f>
        <v>203753</v>
      </c>
      <c r="D37" s="17">
        <f t="shared" si="2"/>
        <v>64058</v>
      </c>
      <c r="E37" s="17">
        <f t="shared" si="2"/>
        <v>39824</v>
      </c>
      <c r="F37" s="17">
        <f t="shared" si="2"/>
        <v>104619</v>
      </c>
      <c r="G37" s="17">
        <f t="shared" si="2"/>
        <v>71477</v>
      </c>
      <c r="H37" s="17">
        <f t="shared" si="2"/>
        <v>842195</v>
      </c>
      <c r="I37" s="17">
        <f t="shared" si="2"/>
        <v>7832</v>
      </c>
      <c r="J37" s="17">
        <f t="shared" si="2"/>
        <v>850027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47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60</v>
      </c>
      <c r="C9" s="20">
        <v>36</v>
      </c>
      <c r="D9" s="20">
        <v>21</v>
      </c>
      <c r="E9" s="20">
        <v>5</v>
      </c>
      <c r="F9" s="20">
        <v>34</v>
      </c>
      <c r="G9" s="20">
        <v>28</v>
      </c>
      <c r="H9" s="19">
        <v>184</v>
      </c>
      <c r="I9" s="20">
        <v>1</v>
      </c>
      <c r="J9" s="21">
        <v>185</v>
      </c>
    </row>
    <row r="10" spans="1:10" x14ac:dyDescent="0.25">
      <c r="A10" s="11" t="s">
        <v>4</v>
      </c>
      <c r="B10" s="20">
        <v>168</v>
      </c>
      <c r="C10" s="20">
        <v>71</v>
      </c>
      <c r="D10" s="20">
        <v>36</v>
      </c>
      <c r="E10" s="20">
        <v>5</v>
      </c>
      <c r="F10" s="20">
        <v>117</v>
      </c>
      <c r="G10" s="20">
        <v>58</v>
      </c>
      <c r="H10" s="19">
        <v>455</v>
      </c>
      <c r="I10" s="20">
        <v>2</v>
      </c>
      <c r="J10" s="21">
        <v>457</v>
      </c>
    </row>
    <row r="11" spans="1:10" x14ac:dyDescent="0.25">
      <c r="A11" s="11" t="s">
        <v>5</v>
      </c>
      <c r="B11" s="20">
        <v>1482</v>
      </c>
      <c r="C11" s="20">
        <v>1787</v>
      </c>
      <c r="D11" s="20">
        <v>1365</v>
      </c>
      <c r="E11" s="20">
        <v>312</v>
      </c>
      <c r="F11" s="20">
        <v>987</v>
      </c>
      <c r="G11" s="20">
        <v>1135</v>
      </c>
      <c r="H11" s="19">
        <v>7068</v>
      </c>
      <c r="I11" s="20">
        <v>34</v>
      </c>
      <c r="J11" s="21">
        <v>7102</v>
      </c>
    </row>
    <row r="12" spans="1:10" x14ac:dyDescent="0.25">
      <c r="A12" s="11" t="s">
        <v>6</v>
      </c>
      <c r="B12" s="20">
        <v>3962</v>
      </c>
      <c r="C12" s="20">
        <v>5950</v>
      </c>
      <c r="D12" s="20">
        <v>3285</v>
      </c>
      <c r="E12" s="20">
        <v>1005</v>
      </c>
      <c r="F12" s="20">
        <v>4175</v>
      </c>
      <c r="G12" s="20">
        <v>4380</v>
      </c>
      <c r="H12" s="19">
        <v>22757</v>
      </c>
      <c r="I12" s="20">
        <v>195</v>
      </c>
      <c r="J12" s="21">
        <v>22952</v>
      </c>
    </row>
    <row r="13" spans="1:10" x14ac:dyDescent="0.25">
      <c r="A13" s="11" t="s">
        <v>7</v>
      </c>
      <c r="B13" s="20">
        <v>6343</v>
      </c>
      <c r="C13" s="20">
        <v>6602</v>
      </c>
      <c r="D13" s="20">
        <v>4245</v>
      </c>
      <c r="E13" s="20">
        <v>1108</v>
      </c>
      <c r="F13" s="20">
        <v>3904</v>
      </c>
      <c r="G13" s="20">
        <v>4900</v>
      </c>
      <c r="H13" s="19">
        <v>27102</v>
      </c>
      <c r="I13" s="20">
        <v>258</v>
      </c>
      <c r="J13" s="21">
        <v>27360</v>
      </c>
    </row>
    <row r="14" spans="1:10" x14ac:dyDescent="0.25">
      <c r="A14" s="11" t="s">
        <v>8</v>
      </c>
      <c r="B14" s="20">
        <v>10131</v>
      </c>
      <c r="C14" s="20">
        <v>10328</v>
      </c>
      <c r="D14" s="20">
        <v>3358</v>
      </c>
      <c r="E14" s="20">
        <v>750</v>
      </c>
      <c r="F14" s="20">
        <v>3218</v>
      </c>
      <c r="G14" s="20">
        <v>3172</v>
      </c>
      <c r="H14" s="19">
        <v>30957</v>
      </c>
      <c r="I14" s="20">
        <v>453</v>
      </c>
      <c r="J14" s="21">
        <v>31410</v>
      </c>
    </row>
    <row r="15" spans="1:10" x14ac:dyDescent="0.25">
      <c r="A15" s="11" t="s">
        <v>9</v>
      </c>
      <c r="B15" s="20">
        <v>7854</v>
      </c>
      <c r="C15" s="20">
        <v>4830</v>
      </c>
      <c r="D15" s="20">
        <v>928</v>
      </c>
      <c r="E15" s="20">
        <v>177</v>
      </c>
      <c r="F15" s="20">
        <v>1134</v>
      </c>
      <c r="G15" s="20">
        <v>463</v>
      </c>
      <c r="H15" s="19">
        <v>15386</v>
      </c>
      <c r="I15" s="20">
        <v>141</v>
      </c>
      <c r="J15" s="21">
        <v>15527</v>
      </c>
    </row>
    <row r="16" spans="1:10" x14ac:dyDescent="0.25">
      <c r="A16" s="11" t="s">
        <v>10</v>
      </c>
      <c r="B16" s="20">
        <v>5052</v>
      </c>
      <c r="C16" s="20">
        <v>2719</v>
      </c>
      <c r="D16" s="20">
        <v>794</v>
      </c>
      <c r="E16" s="20">
        <v>241</v>
      </c>
      <c r="F16" s="20">
        <v>1057</v>
      </c>
      <c r="G16" s="20">
        <v>366</v>
      </c>
      <c r="H16" s="19">
        <v>10229</v>
      </c>
      <c r="I16" s="20">
        <v>39</v>
      </c>
      <c r="J16" s="21">
        <v>10268</v>
      </c>
    </row>
    <row r="17" spans="1:10" x14ac:dyDescent="0.25">
      <c r="A17" s="11" t="s">
        <v>11</v>
      </c>
      <c r="B17" s="20">
        <v>379</v>
      </c>
      <c r="C17" s="20">
        <v>89</v>
      </c>
      <c r="D17" s="20">
        <v>0</v>
      </c>
      <c r="E17" s="20">
        <v>13</v>
      </c>
      <c r="F17" s="20">
        <v>0</v>
      </c>
      <c r="G17" s="20">
        <v>0</v>
      </c>
      <c r="H17" s="19">
        <v>481</v>
      </c>
      <c r="I17" s="20">
        <v>0</v>
      </c>
      <c r="J17" s="21">
        <v>481</v>
      </c>
    </row>
    <row r="18" spans="1:10" x14ac:dyDescent="0.25">
      <c r="A18" s="11" t="s">
        <v>12</v>
      </c>
      <c r="B18" s="20">
        <v>1382</v>
      </c>
      <c r="C18" s="20">
        <v>593</v>
      </c>
      <c r="D18" s="20">
        <v>21</v>
      </c>
      <c r="E18" s="20">
        <v>43</v>
      </c>
      <c r="F18" s="20">
        <v>0</v>
      </c>
      <c r="G18" s="20">
        <v>0</v>
      </c>
      <c r="H18" s="19">
        <v>2039</v>
      </c>
      <c r="I18" s="20">
        <v>30</v>
      </c>
      <c r="J18" s="21">
        <v>2069</v>
      </c>
    </row>
    <row r="19" spans="1:10" x14ac:dyDescent="0.25">
      <c r="A19" s="11" t="s">
        <v>13</v>
      </c>
      <c r="B19" s="20">
        <v>1717</v>
      </c>
      <c r="C19" s="20">
        <v>578</v>
      </c>
      <c r="D19" s="20">
        <v>33</v>
      </c>
      <c r="E19" s="20">
        <v>85</v>
      </c>
      <c r="F19" s="20">
        <v>0</v>
      </c>
      <c r="G19" s="20">
        <v>0</v>
      </c>
      <c r="H19" s="19">
        <v>2413</v>
      </c>
      <c r="I19" s="20">
        <v>36</v>
      </c>
      <c r="J19" s="21">
        <v>2449</v>
      </c>
    </row>
    <row r="20" spans="1:10" x14ac:dyDescent="0.25">
      <c r="A20" s="11" t="s">
        <v>14</v>
      </c>
      <c r="B20" s="20">
        <v>3432</v>
      </c>
      <c r="C20" s="20">
        <v>1431</v>
      </c>
      <c r="D20" s="20">
        <v>47</v>
      </c>
      <c r="E20" s="20">
        <v>135</v>
      </c>
      <c r="F20" s="20">
        <v>0</v>
      </c>
      <c r="G20" s="20">
        <v>0</v>
      </c>
      <c r="H20" s="19">
        <v>5045</v>
      </c>
      <c r="I20" s="20">
        <v>83</v>
      </c>
      <c r="J20" s="21">
        <v>5128</v>
      </c>
    </row>
    <row r="21" spans="1:10" x14ac:dyDescent="0.25">
      <c r="A21" s="11" t="s">
        <v>15</v>
      </c>
      <c r="B21" s="20">
        <v>1317</v>
      </c>
      <c r="C21" s="20">
        <v>523</v>
      </c>
      <c r="D21" s="20">
        <v>0</v>
      </c>
      <c r="E21" s="20">
        <v>31</v>
      </c>
      <c r="F21" s="20">
        <v>0</v>
      </c>
      <c r="G21" s="20">
        <v>0</v>
      </c>
      <c r="H21" s="19">
        <v>1871</v>
      </c>
      <c r="I21" s="20">
        <v>0</v>
      </c>
      <c r="J21" s="21">
        <v>1871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1</v>
      </c>
      <c r="H22" s="19">
        <v>4</v>
      </c>
      <c r="I22" s="20">
        <v>0</v>
      </c>
      <c r="J22" s="21">
        <v>4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43281</v>
      </c>
      <c r="C24" s="16">
        <f t="shared" ref="C24:J24" si="0">SUM(C7:C22)</f>
        <v>35537</v>
      </c>
      <c r="D24" s="16">
        <f t="shared" si="0"/>
        <v>14134</v>
      </c>
      <c r="E24" s="16">
        <f t="shared" si="0"/>
        <v>3910</v>
      </c>
      <c r="F24" s="16">
        <f t="shared" si="0"/>
        <v>14630</v>
      </c>
      <c r="G24" s="16">
        <f t="shared" si="0"/>
        <v>14503</v>
      </c>
      <c r="H24" s="16">
        <f t="shared" si="0"/>
        <v>125995</v>
      </c>
      <c r="I24" s="16">
        <f t="shared" si="0"/>
        <v>1272</v>
      </c>
      <c r="J24" s="16">
        <f t="shared" si="0"/>
        <v>127267</v>
      </c>
    </row>
    <row r="25" spans="1:10" x14ac:dyDescent="0.25">
      <c r="A25" s="11" t="s">
        <v>17</v>
      </c>
      <c r="B25" s="20">
        <v>2128</v>
      </c>
      <c r="C25" s="20">
        <v>1513</v>
      </c>
      <c r="D25" s="20">
        <v>377</v>
      </c>
      <c r="E25" s="20">
        <v>193</v>
      </c>
      <c r="F25" s="20">
        <v>1964</v>
      </c>
      <c r="G25" s="20">
        <v>1022</v>
      </c>
      <c r="H25" s="19">
        <v>7197</v>
      </c>
      <c r="I25" s="20">
        <v>91</v>
      </c>
      <c r="J25" s="21">
        <v>7288</v>
      </c>
    </row>
    <row r="26" spans="1:10" x14ac:dyDescent="0.25">
      <c r="A26" s="11" t="s">
        <v>18</v>
      </c>
      <c r="B26" s="20">
        <v>7741</v>
      </c>
      <c r="C26" s="20">
        <v>6239</v>
      </c>
      <c r="D26" s="20">
        <v>1001</v>
      </c>
      <c r="E26" s="20">
        <v>413</v>
      </c>
      <c r="F26" s="20">
        <v>4717</v>
      </c>
      <c r="G26" s="20">
        <v>3207</v>
      </c>
      <c r="H26" s="19">
        <v>23318</v>
      </c>
      <c r="I26" s="20">
        <v>141</v>
      </c>
      <c r="J26" s="21">
        <v>23459</v>
      </c>
    </row>
    <row r="27" spans="1:10" x14ac:dyDescent="0.25">
      <c r="A27" s="11" t="s">
        <v>19</v>
      </c>
      <c r="B27" s="20">
        <v>22482</v>
      </c>
      <c r="C27" s="20">
        <v>15653</v>
      </c>
      <c r="D27" s="20">
        <v>3995</v>
      </c>
      <c r="E27" s="20">
        <v>1198</v>
      </c>
      <c r="F27" s="20">
        <v>15935</v>
      </c>
      <c r="G27" s="20">
        <v>8915</v>
      </c>
      <c r="H27" s="19">
        <v>68178</v>
      </c>
      <c r="I27" s="20">
        <v>689</v>
      </c>
      <c r="J27" s="21">
        <v>68867</v>
      </c>
    </row>
    <row r="28" spans="1:10" x14ac:dyDescent="0.25">
      <c r="A28" s="11" t="s">
        <v>20</v>
      </c>
      <c r="B28" s="20">
        <v>40314</v>
      </c>
      <c r="C28" s="20">
        <v>21155</v>
      </c>
      <c r="D28" s="20">
        <v>12034</v>
      </c>
      <c r="E28" s="20">
        <v>1872</v>
      </c>
      <c r="F28" s="20">
        <v>19691</v>
      </c>
      <c r="G28" s="20">
        <v>12836</v>
      </c>
      <c r="H28" s="19">
        <v>107902</v>
      </c>
      <c r="I28" s="20">
        <v>1161</v>
      </c>
      <c r="J28" s="21">
        <v>109063</v>
      </c>
    </row>
    <row r="29" spans="1:10" x14ac:dyDescent="0.25">
      <c r="A29" s="11" t="s">
        <v>21</v>
      </c>
      <c r="B29" s="20">
        <v>64348</v>
      </c>
      <c r="C29" s="20">
        <v>27891</v>
      </c>
      <c r="D29" s="20">
        <v>16629</v>
      </c>
      <c r="E29" s="20">
        <v>5361</v>
      </c>
      <c r="F29" s="20">
        <v>20961</v>
      </c>
      <c r="G29" s="20">
        <v>10904</v>
      </c>
      <c r="H29" s="19">
        <v>146094</v>
      </c>
      <c r="I29" s="20">
        <v>1719</v>
      </c>
      <c r="J29" s="21">
        <v>147813</v>
      </c>
    </row>
    <row r="30" spans="1:10" x14ac:dyDescent="0.25">
      <c r="A30" s="11" t="s">
        <v>22</v>
      </c>
      <c r="B30" s="20">
        <v>100944</v>
      </c>
      <c r="C30" s="20">
        <v>59384</v>
      </c>
      <c r="D30" s="20">
        <v>8732</v>
      </c>
      <c r="E30" s="20">
        <v>6459</v>
      </c>
      <c r="F30" s="20">
        <v>13114</v>
      </c>
      <c r="G30" s="20">
        <v>12588</v>
      </c>
      <c r="H30" s="19">
        <v>201221</v>
      </c>
      <c r="I30" s="20">
        <v>2247</v>
      </c>
      <c r="J30" s="21">
        <v>203468</v>
      </c>
    </row>
    <row r="31" spans="1:10" x14ac:dyDescent="0.25">
      <c r="A31" s="11" t="s">
        <v>23</v>
      </c>
      <c r="B31" s="20">
        <v>41623</v>
      </c>
      <c r="C31" s="20">
        <v>21281</v>
      </c>
      <c r="D31" s="20">
        <v>4478</v>
      </c>
      <c r="E31" s="20">
        <v>15076</v>
      </c>
      <c r="F31" s="20">
        <v>12128</v>
      </c>
      <c r="G31" s="20">
        <v>4419</v>
      </c>
      <c r="H31" s="19">
        <v>99005</v>
      </c>
      <c r="I31" s="20">
        <v>474</v>
      </c>
      <c r="J31" s="21">
        <v>99479</v>
      </c>
    </row>
    <row r="32" spans="1:10" x14ac:dyDescent="0.25">
      <c r="A32" s="11" t="s">
        <v>24</v>
      </c>
      <c r="B32" s="20">
        <v>19448</v>
      </c>
      <c r="C32" s="20">
        <v>7451</v>
      </c>
      <c r="D32" s="20">
        <v>1478</v>
      </c>
      <c r="E32" s="20">
        <v>3640</v>
      </c>
      <c r="F32" s="20">
        <v>330</v>
      </c>
      <c r="G32" s="20">
        <v>1320</v>
      </c>
      <c r="H32" s="19">
        <v>33667</v>
      </c>
      <c r="I32" s="20">
        <v>9</v>
      </c>
      <c r="J32" s="21">
        <v>33676</v>
      </c>
    </row>
    <row r="33" spans="1:10" x14ac:dyDescent="0.25">
      <c r="A33" s="11" t="s">
        <v>25</v>
      </c>
      <c r="B33" s="20">
        <v>15384</v>
      </c>
      <c r="C33" s="20">
        <v>7130</v>
      </c>
      <c r="D33" s="20">
        <v>1029</v>
      </c>
      <c r="E33" s="20">
        <v>1452</v>
      </c>
      <c r="F33" s="20">
        <v>1066</v>
      </c>
      <c r="G33" s="20">
        <v>1809</v>
      </c>
      <c r="H33" s="19">
        <v>27870</v>
      </c>
      <c r="I33" s="20">
        <v>0</v>
      </c>
      <c r="J33" s="21">
        <v>27870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</v>
      </c>
      <c r="G34" s="20">
        <v>1</v>
      </c>
      <c r="H34" s="19">
        <v>2</v>
      </c>
      <c r="I34" s="20">
        <v>0</v>
      </c>
      <c r="J34" s="21">
        <v>2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314412</v>
      </c>
      <c r="C36" s="16">
        <f t="shared" ref="C36:J36" si="1">SUM(C25:C34)</f>
        <v>167697</v>
      </c>
      <c r="D36" s="16">
        <f t="shared" si="1"/>
        <v>49753</v>
      </c>
      <c r="E36" s="16">
        <f t="shared" si="1"/>
        <v>35664</v>
      </c>
      <c r="F36" s="16">
        <f t="shared" si="1"/>
        <v>89907</v>
      </c>
      <c r="G36" s="16">
        <f t="shared" si="1"/>
        <v>57021</v>
      </c>
      <c r="H36" s="16">
        <f t="shared" si="1"/>
        <v>714454</v>
      </c>
      <c r="I36" s="16">
        <f t="shared" si="1"/>
        <v>6531</v>
      </c>
      <c r="J36" s="16">
        <f t="shared" si="1"/>
        <v>720985</v>
      </c>
    </row>
    <row r="37" spans="1:10" ht="30" customHeight="1" thickTop="1" thickBot="1" x14ac:dyDescent="0.3">
      <c r="A37" s="7" t="s">
        <v>27</v>
      </c>
      <c r="B37" s="17">
        <f>SUM(B24,B36)</f>
        <v>357693</v>
      </c>
      <c r="C37" s="17">
        <f t="shared" ref="C37:J37" si="2">SUM(C24,C36)</f>
        <v>203234</v>
      </c>
      <c r="D37" s="17">
        <f t="shared" si="2"/>
        <v>63887</v>
      </c>
      <c r="E37" s="17">
        <f t="shared" si="2"/>
        <v>39574</v>
      </c>
      <c r="F37" s="17">
        <f t="shared" si="2"/>
        <v>104537</v>
      </c>
      <c r="G37" s="17">
        <f t="shared" si="2"/>
        <v>71524</v>
      </c>
      <c r="H37" s="17">
        <f t="shared" si="2"/>
        <v>840449</v>
      </c>
      <c r="I37" s="17">
        <f t="shared" si="2"/>
        <v>7803</v>
      </c>
      <c r="J37" s="17">
        <f t="shared" si="2"/>
        <v>848252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48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63</v>
      </c>
      <c r="C9" s="20">
        <v>35</v>
      </c>
      <c r="D9" s="20">
        <v>21</v>
      </c>
      <c r="E9" s="20">
        <v>5</v>
      </c>
      <c r="F9" s="20">
        <v>35</v>
      </c>
      <c r="G9" s="20">
        <v>28</v>
      </c>
      <c r="H9" s="19">
        <v>187</v>
      </c>
      <c r="I9" s="20">
        <v>1</v>
      </c>
      <c r="J9" s="21">
        <v>188</v>
      </c>
    </row>
    <row r="10" spans="1:10" x14ac:dyDescent="0.25">
      <c r="A10" s="11" t="s">
        <v>4</v>
      </c>
      <c r="B10" s="20">
        <v>162</v>
      </c>
      <c r="C10" s="20">
        <v>69</v>
      </c>
      <c r="D10" s="20">
        <v>36</v>
      </c>
      <c r="E10" s="20">
        <v>6</v>
      </c>
      <c r="F10" s="20">
        <v>119</v>
      </c>
      <c r="G10" s="20">
        <v>57</v>
      </c>
      <c r="H10" s="19">
        <v>449</v>
      </c>
      <c r="I10" s="20">
        <v>2</v>
      </c>
      <c r="J10" s="21">
        <v>451</v>
      </c>
    </row>
    <row r="11" spans="1:10" x14ac:dyDescent="0.25">
      <c r="A11" s="11" t="s">
        <v>5</v>
      </c>
      <c r="B11" s="20">
        <v>1491</v>
      </c>
      <c r="C11" s="20">
        <v>1758</v>
      </c>
      <c r="D11" s="20">
        <v>1372</v>
      </c>
      <c r="E11" s="20">
        <v>316</v>
      </c>
      <c r="F11" s="20">
        <v>995</v>
      </c>
      <c r="G11" s="20">
        <v>1138</v>
      </c>
      <c r="H11" s="19">
        <v>7070</v>
      </c>
      <c r="I11" s="20">
        <v>32</v>
      </c>
      <c r="J11" s="21">
        <v>7102</v>
      </c>
    </row>
    <row r="12" spans="1:10" x14ac:dyDescent="0.25">
      <c r="A12" s="11" t="s">
        <v>6</v>
      </c>
      <c r="B12" s="20">
        <v>3935</v>
      </c>
      <c r="C12" s="20">
        <v>5892</v>
      </c>
      <c r="D12" s="20">
        <v>3286</v>
      </c>
      <c r="E12" s="20">
        <v>993</v>
      </c>
      <c r="F12" s="20">
        <v>4121</v>
      </c>
      <c r="G12" s="20">
        <v>4305</v>
      </c>
      <c r="H12" s="19">
        <v>22532</v>
      </c>
      <c r="I12" s="20">
        <v>196</v>
      </c>
      <c r="J12" s="21">
        <v>22728</v>
      </c>
    </row>
    <row r="13" spans="1:10" x14ac:dyDescent="0.25">
      <c r="A13" s="11" t="s">
        <v>7</v>
      </c>
      <c r="B13" s="20">
        <v>6324</v>
      </c>
      <c r="C13" s="20">
        <v>6570</v>
      </c>
      <c r="D13" s="20">
        <v>4246</v>
      </c>
      <c r="E13" s="20">
        <v>1111</v>
      </c>
      <c r="F13" s="20">
        <v>3902</v>
      </c>
      <c r="G13" s="20">
        <v>4912</v>
      </c>
      <c r="H13" s="19">
        <v>27065</v>
      </c>
      <c r="I13" s="20">
        <v>259</v>
      </c>
      <c r="J13" s="21">
        <v>27324</v>
      </c>
    </row>
    <row r="14" spans="1:10" x14ac:dyDescent="0.25">
      <c r="A14" s="11" t="s">
        <v>8</v>
      </c>
      <c r="B14" s="20">
        <v>10186</v>
      </c>
      <c r="C14" s="20">
        <v>10328</v>
      </c>
      <c r="D14" s="20">
        <v>3365</v>
      </c>
      <c r="E14" s="20">
        <v>768</v>
      </c>
      <c r="F14" s="20">
        <v>3282</v>
      </c>
      <c r="G14" s="20">
        <v>3160</v>
      </c>
      <c r="H14" s="19">
        <v>31089</v>
      </c>
      <c r="I14" s="20">
        <v>479</v>
      </c>
      <c r="J14" s="21">
        <v>31568</v>
      </c>
    </row>
    <row r="15" spans="1:10" x14ac:dyDescent="0.25">
      <c r="A15" s="11" t="s">
        <v>9</v>
      </c>
      <c r="B15" s="20">
        <v>7930</v>
      </c>
      <c r="C15" s="20">
        <v>4932</v>
      </c>
      <c r="D15" s="20">
        <v>901</v>
      </c>
      <c r="E15" s="20">
        <v>170</v>
      </c>
      <c r="F15" s="20">
        <v>1090</v>
      </c>
      <c r="G15" s="20">
        <v>467</v>
      </c>
      <c r="H15" s="19">
        <v>15490</v>
      </c>
      <c r="I15" s="20">
        <v>123</v>
      </c>
      <c r="J15" s="21">
        <v>15613</v>
      </c>
    </row>
    <row r="16" spans="1:10" x14ac:dyDescent="0.25">
      <c r="A16" s="11" t="s">
        <v>10</v>
      </c>
      <c r="B16" s="20">
        <v>5173</v>
      </c>
      <c r="C16" s="20">
        <v>2743</v>
      </c>
      <c r="D16" s="20">
        <v>804</v>
      </c>
      <c r="E16" s="20">
        <v>243</v>
      </c>
      <c r="F16" s="20">
        <v>1059</v>
      </c>
      <c r="G16" s="20">
        <v>385</v>
      </c>
      <c r="H16" s="19">
        <v>10407</v>
      </c>
      <c r="I16" s="20">
        <v>39</v>
      </c>
      <c r="J16" s="21">
        <v>10446</v>
      </c>
    </row>
    <row r="17" spans="1:10" x14ac:dyDescent="0.25">
      <c r="A17" s="11" t="s">
        <v>11</v>
      </c>
      <c r="B17" s="20">
        <v>382</v>
      </c>
      <c r="C17" s="20">
        <v>91</v>
      </c>
      <c r="D17" s="20">
        <v>0</v>
      </c>
      <c r="E17" s="20">
        <v>13</v>
      </c>
      <c r="F17" s="20">
        <v>0</v>
      </c>
      <c r="G17" s="20">
        <v>0</v>
      </c>
      <c r="H17" s="19">
        <v>486</v>
      </c>
      <c r="I17" s="20">
        <v>0</v>
      </c>
      <c r="J17" s="21">
        <v>486</v>
      </c>
    </row>
    <row r="18" spans="1:10" x14ac:dyDescent="0.25">
      <c r="A18" s="11" t="s">
        <v>12</v>
      </c>
      <c r="B18" s="20">
        <v>1385</v>
      </c>
      <c r="C18" s="20">
        <v>598</v>
      </c>
      <c r="D18" s="20">
        <v>21</v>
      </c>
      <c r="E18" s="20">
        <v>42</v>
      </c>
      <c r="F18" s="20">
        <v>0</v>
      </c>
      <c r="G18" s="20">
        <v>0</v>
      </c>
      <c r="H18" s="19">
        <v>2046</v>
      </c>
      <c r="I18" s="20">
        <v>31</v>
      </c>
      <c r="J18" s="21">
        <v>2077</v>
      </c>
    </row>
    <row r="19" spans="1:10" x14ac:dyDescent="0.25">
      <c r="A19" s="11" t="s">
        <v>13</v>
      </c>
      <c r="B19" s="20">
        <v>1710</v>
      </c>
      <c r="C19" s="20">
        <v>568</v>
      </c>
      <c r="D19" s="20">
        <v>32</v>
      </c>
      <c r="E19" s="20">
        <v>88</v>
      </c>
      <c r="F19" s="20">
        <v>0</v>
      </c>
      <c r="G19" s="20">
        <v>0</v>
      </c>
      <c r="H19" s="19">
        <v>2398</v>
      </c>
      <c r="I19" s="20">
        <v>35</v>
      </c>
      <c r="J19" s="21">
        <v>2433</v>
      </c>
    </row>
    <row r="20" spans="1:10" x14ac:dyDescent="0.25">
      <c r="A20" s="11" t="s">
        <v>14</v>
      </c>
      <c r="B20" s="20">
        <v>3441</v>
      </c>
      <c r="C20" s="20">
        <v>1451</v>
      </c>
      <c r="D20" s="20">
        <v>47</v>
      </c>
      <c r="E20" s="20">
        <v>131</v>
      </c>
      <c r="F20" s="20">
        <v>0</v>
      </c>
      <c r="G20" s="20">
        <v>0</v>
      </c>
      <c r="H20" s="19">
        <v>5070</v>
      </c>
      <c r="I20" s="20">
        <v>83</v>
      </c>
      <c r="J20" s="21">
        <v>5153</v>
      </c>
    </row>
    <row r="21" spans="1:10" x14ac:dyDescent="0.25">
      <c r="A21" s="11" t="s">
        <v>15</v>
      </c>
      <c r="B21" s="20">
        <v>1334</v>
      </c>
      <c r="C21" s="20">
        <v>515</v>
      </c>
      <c r="D21" s="20">
        <v>0</v>
      </c>
      <c r="E21" s="20">
        <v>32</v>
      </c>
      <c r="F21" s="20">
        <v>0</v>
      </c>
      <c r="G21" s="20">
        <v>0</v>
      </c>
      <c r="H21" s="19">
        <v>1881</v>
      </c>
      <c r="I21" s="20">
        <v>0</v>
      </c>
      <c r="J21" s="21">
        <v>1881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1</v>
      </c>
      <c r="H22" s="19">
        <v>4</v>
      </c>
      <c r="I22" s="20">
        <v>0</v>
      </c>
      <c r="J22" s="21">
        <v>4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43518</v>
      </c>
      <c r="C24" s="16">
        <f t="shared" ref="C24:J24" si="0">SUM(C7:C22)</f>
        <v>35550</v>
      </c>
      <c r="D24" s="16">
        <f t="shared" si="0"/>
        <v>14132</v>
      </c>
      <c r="E24" s="16">
        <f t="shared" si="0"/>
        <v>3918</v>
      </c>
      <c r="F24" s="16">
        <f t="shared" si="0"/>
        <v>14607</v>
      </c>
      <c r="G24" s="16">
        <f t="shared" si="0"/>
        <v>14453</v>
      </c>
      <c r="H24" s="16">
        <f t="shared" si="0"/>
        <v>126178</v>
      </c>
      <c r="I24" s="16">
        <f t="shared" si="0"/>
        <v>1280</v>
      </c>
      <c r="J24" s="16">
        <f t="shared" si="0"/>
        <v>127458</v>
      </c>
    </row>
    <row r="25" spans="1:10" x14ac:dyDescent="0.25">
      <c r="A25" s="11" t="s">
        <v>17</v>
      </c>
      <c r="B25" s="20">
        <v>2131</v>
      </c>
      <c r="C25" s="20">
        <v>1493</v>
      </c>
      <c r="D25" s="20">
        <v>371</v>
      </c>
      <c r="E25" s="20">
        <v>189</v>
      </c>
      <c r="F25" s="20">
        <v>1965</v>
      </c>
      <c r="G25" s="20">
        <v>1020</v>
      </c>
      <c r="H25" s="19">
        <v>7169</v>
      </c>
      <c r="I25" s="20">
        <v>90</v>
      </c>
      <c r="J25" s="21">
        <v>7259</v>
      </c>
    </row>
    <row r="26" spans="1:10" x14ac:dyDescent="0.25">
      <c r="A26" s="11" t="s">
        <v>18</v>
      </c>
      <c r="B26" s="20">
        <v>7795</v>
      </c>
      <c r="C26" s="20">
        <v>6419</v>
      </c>
      <c r="D26" s="20">
        <v>1003</v>
      </c>
      <c r="E26" s="20">
        <v>422</v>
      </c>
      <c r="F26" s="20">
        <v>4707</v>
      </c>
      <c r="G26" s="20">
        <v>3182</v>
      </c>
      <c r="H26" s="19">
        <v>23528</v>
      </c>
      <c r="I26" s="20">
        <v>143</v>
      </c>
      <c r="J26" s="21">
        <v>23671</v>
      </c>
    </row>
    <row r="27" spans="1:10" x14ac:dyDescent="0.25">
      <c r="A27" s="11" t="s">
        <v>19</v>
      </c>
      <c r="B27" s="20">
        <v>22563</v>
      </c>
      <c r="C27" s="20">
        <v>15385</v>
      </c>
      <c r="D27" s="20">
        <v>4004</v>
      </c>
      <c r="E27" s="20">
        <v>1198</v>
      </c>
      <c r="F27" s="20">
        <v>15954</v>
      </c>
      <c r="G27" s="20">
        <v>8943</v>
      </c>
      <c r="H27" s="19">
        <v>68047</v>
      </c>
      <c r="I27" s="20">
        <v>696</v>
      </c>
      <c r="J27" s="21">
        <v>68743</v>
      </c>
    </row>
    <row r="28" spans="1:10" x14ac:dyDescent="0.25">
      <c r="A28" s="11" t="s">
        <v>20</v>
      </c>
      <c r="B28" s="20">
        <v>40801</v>
      </c>
      <c r="C28" s="20">
        <v>21225</v>
      </c>
      <c r="D28" s="20">
        <v>12025</v>
      </c>
      <c r="E28" s="20">
        <v>1886</v>
      </c>
      <c r="F28" s="20">
        <v>19644</v>
      </c>
      <c r="G28" s="20">
        <v>12810</v>
      </c>
      <c r="H28" s="19">
        <v>108391</v>
      </c>
      <c r="I28" s="20">
        <v>1149</v>
      </c>
      <c r="J28" s="21">
        <v>109540</v>
      </c>
    </row>
    <row r="29" spans="1:10" x14ac:dyDescent="0.25">
      <c r="A29" s="11" t="s">
        <v>21</v>
      </c>
      <c r="B29" s="20">
        <v>64260</v>
      </c>
      <c r="C29" s="20">
        <v>27801</v>
      </c>
      <c r="D29" s="20">
        <v>16625</v>
      </c>
      <c r="E29" s="20">
        <v>5190</v>
      </c>
      <c r="F29" s="20">
        <v>20789</v>
      </c>
      <c r="G29" s="20">
        <v>10797</v>
      </c>
      <c r="H29" s="19">
        <v>145462</v>
      </c>
      <c r="I29" s="20">
        <v>1724</v>
      </c>
      <c r="J29" s="21">
        <v>147186</v>
      </c>
    </row>
    <row r="30" spans="1:10" x14ac:dyDescent="0.25">
      <c r="A30" s="11" t="s">
        <v>22</v>
      </c>
      <c r="B30" s="20">
        <v>100595</v>
      </c>
      <c r="C30" s="20">
        <v>59673</v>
      </c>
      <c r="D30" s="20">
        <v>8725</v>
      </c>
      <c r="E30" s="20">
        <v>6295</v>
      </c>
      <c r="F30" s="20">
        <v>13268</v>
      </c>
      <c r="G30" s="20">
        <v>12688</v>
      </c>
      <c r="H30" s="19">
        <v>201244</v>
      </c>
      <c r="I30" s="20">
        <v>2266</v>
      </c>
      <c r="J30" s="21">
        <v>203510</v>
      </c>
    </row>
    <row r="31" spans="1:10" x14ac:dyDescent="0.25">
      <c r="A31" s="11" t="s">
        <v>23</v>
      </c>
      <c r="B31" s="20">
        <v>42002</v>
      </c>
      <c r="C31" s="20">
        <v>21194</v>
      </c>
      <c r="D31" s="20">
        <v>4647</v>
      </c>
      <c r="E31" s="20">
        <v>15163</v>
      </c>
      <c r="F31" s="20">
        <v>12335</v>
      </c>
      <c r="G31" s="20">
        <v>4548</v>
      </c>
      <c r="H31" s="19">
        <v>99889</v>
      </c>
      <c r="I31" s="20">
        <v>519</v>
      </c>
      <c r="J31" s="21">
        <v>100408</v>
      </c>
    </row>
    <row r="32" spans="1:10" x14ac:dyDescent="0.25">
      <c r="A32" s="11" t="s">
        <v>24</v>
      </c>
      <c r="B32" s="20">
        <v>18897</v>
      </c>
      <c r="C32" s="20">
        <v>7212</v>
      </c>
      <c r="D32" s="20">
        <v>1457</v>
      </c>
      <c r="E32" s="20">
        <v>3774</v>
      </c>
      <c r="F32" s="20">
        <v>334</v>
      </c>
      <c r="G32" s="20">
        <v>1273</v>
      </c>
      <c r="H32" s="19">
        <v>32947</v>
      </c>
      <c r="I32" s="20">
        <v>6</v>
      </c>
      <c r="J32" s="21">
        <v>32953</v>
      </c>
    </row>
    <row r="33" spans="1:10" x14ac:dyDescent="0.25">
      <c r="A33" s="11" t="s">
        <v>25</v>
      </c>
      <c r="B33" s="20">
        <v>15254</v>
      </c>
      <c r="C33" s="20">
        <v>6988</v>
      </c>
      <c r="D33" s="20">
        <v>976</v>
      </c>
      <c r="E33" s="20">
        <v>1814</v>
      </c>
      <c r="F33" s="20">
        <v>868</v>
      </c>
      <c r="G33" s="20">
        <v>1804</v>
      </c>
      <c r="H33" s="19">
        <v>27704</v>
      </c>
      <c r="I33" s="20">
        <v>0</v>
      </c>
      <c r="J33" s="21">
        <v>27704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19">
        <v>0</v>
      </c>
      <c r="I34" s="20">
        <v>1</v>
      </c>
      <c r="J34" s="21">
        <v>1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314298</v>
      </c>
      <c r="C36" s="16">
        <f t="shared" ref="C36:J36" si="1">SUM(C25:C34)</f>
        <v>167390</v>
      </c>
      <c r="D36" s="16">
        <f t="shared" si="1"/>
        <v>49833</v>
      </c>
      <c r="E36" s="16">
        <f t="shared" si="1"/>
        <v>35931</v>
      </c>
      <c r="F36" s="16">
        <f t="shared" si="1"/>
        <v>89864</v>
      </c>
      <c r="G36" s="16">
        <f t="shared" si="1"/>
        <v>57065</v>
      </c>
      <c r="H36" s="16">
        <f t="shared" si="1"/>
        <v>714381</v>
      </c>
      <c r="I36" s="16">
        <f t="shared" si="1"/>
        <v>6594</v>
      </c>
      <c r="J36" s="16">
        <f t="shared" si="1"/>
        <v>720975</v>
      </c>
    </row>
    <row r="37" spans="1:10" ht="30" customHeight="1" thickTop="1" thickBot="1" x14ac:dyDescent="0.3">
      <c r="A37" s="7" t="s">
        <v>27</v>
      </c>
      <c r="B37" s="17">
        <f>SUM(B24,B36)</f>
        <v>357816</v>
      </c>
      <c r="C37" s="17">
        <f t="shared" ref="C37:J37" si="2">SUM(C24,C36)</f>
        <v>202940</v>
      </c>
      <c r="D37" s="17">
        <f t="shared" si="2"/>
        <v>63965</v>
      </c>
      <c r="E37" s="17">
        <f t="shared" si="2"/>
        <v>39849</v>
      </c>
      <c r="F37" s="17">
        <f t="shared" si="2"/>
        <v>104471</v>
      </c>
      <c r="G37" s="17">
        <f t="shared" si="2"/>
        <v>71518</v>
      </c>
      <c r="H37" s="17">
        <f t="shared" si="2"/>
        <v>840559</v>
      </c>
      <c r="I37" s="17">
        <f t="shared" si="2"/>
        <v>7874</v>
      </c>
      <c r="J37" s="17">
        <f t="shared" si="2"/>
        <v>848433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49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2</v>
      </c>
      <c r="G8" s="20">
        <v>0</v>
      </c>
      <c r="H8" s="19">
        <v>3</v>
      </c>
      <c r="I8" s="20">
        <v>0</v>
      </c>
      <c r="J8" s="21">
        <v>3</v>
      </c>
    </row>
    <row r="9" spans="1:10" x14ac:dyDescent="0.25">
      <c r="A9" s="11" t="s">
        <v>3</v>
      </c>
      <c r="B9" s="20">
        <v>59</v>
      </c>
      <c r="C9" s="20">
        <v>35</v>
      </c>
      <c r="D9" s="20">
        <v>20</v>
      </c>
      <c r="E9" s="20">
        <v>5</v>
      </c>
      <c r="F9" s="20">
        <v>33</v>
      </c>
      <c r="G9" s="20">
        <v>29</v>
      </c>
      <c r="H9" s="19">
        <v>181</v>
      </c>
      <c r="I9" s="20">
        <v>2</v>
      </c>
      <c r="J9" s="21">
        <v>183</v>
      </c>
    </row>
    <row r="10" spans="1:10" x14ac:dyDescent="0.25">
      <c r="A10" s="11" t="s">
        <v>4</v>
      </c>
      <c r="B10" s="20">
        <v>161</v>
      </c>
      <c r="C10" s="20">
        <v>70</v>
      </c>
      <c r="D10" s="20">
        <v>37</v>
      </c>
      <c r="E10" s="20">
        <v>6</v>
      </c>
      <c r="F10" s="20">
        <v>122</v>
      </c>
      <c r="G10" s="20">
        <v>56</v>
      </c>
      <c r="H10" s="19">
        <v>452</v>
      </c>
      <c r="I10" s="20">
        <v>1</v>
      </c>
      <c r="J10" s="21">
        <v>453</v>
      </c>
    </row>
    <row r="11" spans="1:10" x14ac:dyDescent="0.25">
      <c r="A11" s="11" t="s">
        <v>5</v>
      </c>
      <c r="B11" s="20">
        <v>1471</v>
      </c>
      <c r="C11" s="20">
        <v>1727</v>
      </c>
      <c r="D11" s="20">
        <v>1371</v>
      </c>
      <c r="E11" s="20">
        <v>314</v>
      </c>
      <c r="F11" s="20">
        <v>992</v>
      </c>
      <c r="G11" s="20">
        <v>1137</v>
      </c>
      <c r="H11" s="19">
        <v>7012</v>
      </c>
      <c r="I11" s="20">
        <v>41</v>
      </c>
      <c r="J11" s="21">
        <v>7053</v>
      </c>
    </row>
    <row r="12" spans="1:10" x14ac:dyDescent="0.25">
      <c r="A12" s="11" t="s">
        <v>6</v>
      </c>
      <c r="B12" s="20">
        <v>3888</v>
      </c>
      <c r="C12" s="20">
        <v>5802</v>
      </c>
      <c r="D12" s="20">
        <v>3281</v>
      </c>
      <c r="E12" s="20">
        <v>981</v>
      </c>
      <c r="F12" s="20">
        <v>4106</v>
      </c>
      <c r="G12" s="20">
        <v>4267</v>
      </c>
      <c r="H12" s="19">
        <v>22325</v>
      </c>
      <c r="I12" s="20">
        <v>194</v>
      </c>
      <c r="J12" s="21">
        <v>22519</v>
      </c>
    </row>
    <row r="13" spans="1:10" x14ac:dyDescent="0.25">
      <c r="A13" s="11" t="s">
        <v>7</v>
      </c>
      <c r="B13" s="20">
        <v>6311</v>
      </c>
      <c r="C13" s="20">
        <v>6526</v>
      </c>
      <c r="D13" s="20">
        <v>4248</v>
      </c>
      <c r="E13" s="20">
        <v>1098</v>
      </c>
      <c r="F13" s="20">
        <v>3900</v>
      </c>
      <c r="G13" s="20">
        <v>4917</v>
      </c>
      <c r="H13" s="19">
        <v>27000</v>
      </c>
      <c r="I13" s="20">
        <v>270</v>
      </c>
      <c r="J13" s="21">
        <v>27270</v>
      </c>
    </row>
    <row r="14" spans="1:10" x14ac:dyDescent="0.25">
      <c r="A14" s="11" t="s">
        <v>8</v>
      </c>
      <c r="B14" s="20">
        <v>10328</v>
      </c>
      <c r="C14" s="20">
        <v>10326</v>
      </c>
      <c r="D14" s="20">
        <v>3392</v>
      </c>
      <c r="E14" s="20">
        <v>783</v>
      </c>
      <c r="F14" s="20">
        <v>3285</v>
      </c>
      <c r="G14" s="20">
        <v>3166</v>
      </c>
      <c r="H14" s="19">
        <v>31280</v>
      </c>
      <c r="I14" s="20">
        <v>461</v>
      </c>
      <c r="J14" s="21">
        <v>31741</v>
      </c>
    </row>
    <row r="15" spans="1:10" x14ac:dyDescent="0.25">
      <c r="A15" s="11" t="s">
        <v>9</v>
      </c>
      <c r="B15" s="20">
        <v>7872</v>
      </c>
      <c r="C15" s="20">
        <v>4989</v>
      </c>
      <c r="D15" s="20">
        <v>904</v>
      </c>
      <c r="E15" s="20">
        <v>172</v>
      </c>
      <c r="F15" s="20">
        <v>1101</v>
      </c>
      <c r="G15" s="20">
        <v>478</v>
      </c>
      <c r="H15" s="19">
        <v>15516</v>
      </c>
      <c r="I15" s="20">
        <v>121</v>
      </c>
      <c r="J15" s="21">
        <v>15637</v>
      </c>
    </row>
    <row r="16" spans="1:10" x14ac:dyDescent="0.25">
      <c r="A16" s="11" t="s">
        <v>10</v>
      </c>
      <c r="B16" s="20">
        <v>5202</v>
      </c>
      <c r="C16" s="20">
        <v>2651</v>
      </c>
      <c r="D16" s="20">
        <v>799</v>
      </c>
      <c r="E16" s="20">
        <v>242</v>
      </c>
      <c r="F16" s="20">
        <v>1059</v>
      </c>
      <c r="G16" s="20">
        <v>392</v>
      </c>
      <c r="H16" s="19">
        <v>10345</v>
      </c>
      <c r="I16" s="20">
        <v>40</v>
      </c>
      <c r="J16" s="21">
        <v>10385</v>
      </c>
    </row>
    <row r="17" spans="1:10" x14ac:dyDescent="0.25">
      <c r="A17" s="11" t="s">
        <v>11</v>
      </c>
      <c r="B17" s="20">
        <v>374</v>
      </c>
      <c r="C17" s="20">
        <v>87</v>
      </c>
      <c r="D17" s="20">
        <v>0</v>
      </c>
      <c r="E17" s="20">
        <v>14</v>
      </c>
      <c r="F17" s="20">
        <v>0</v>
      </c>
      <c r="G17" s="20">
        <v>0</v>
      </c>
      <c r="H17" s="19">
        <v>475</v>
      </c>
      <c r="I17" s="20">
        <v>0</v>
      </c>
      <c r="J17" s="21">
        <v>475</v>
      </c>
    </row>
    <row r="18" spans="1:10" x14ac:dyDescent="0.25">
      <c r="A18" s="11" t="s">
        <v>12</v>
      </c>
      <c r="B18" s="20">
        <v>1375</v>
      </c>
      <c r="C18" s="20">
        <v>593</v>
      </c>
      <c r="D18" s="20">
        <v>20</v>
      </c>
      <c r="E18" s="20">
        <v>42</v>
      </c>
      <c r="F18" s="20">
        <v>0</v>
      </c>
      <c r="G18" s="20">
        <v>0</v>
      </c>
      <c r="H18" s="19">
        <v>2030</v>
      </c>
      <c r="I18" s="20">
        <v>31</v>
      </c>
      <c r="J18" s="21">
        <v>2061</v>
      </c>
    </row>
    <row r="19" spans="1:10" x14ac:dyDescent="0.25">
      <c r="A19" s="11" t="s">
        <v>13</v>
      </c>
      <c r="B19" s="20">
        <v>1706</v>
      </c>
      <c r="C19" s="20">
        <v>565</v>
      </c>
      <c r="D19" s="20">
        <v>32</v>
      </c>
      <c r="E19" s="20">
        <v>87</v>
      </c>
      <c r="F19" s="20">
        <v>0</v>
      </c>
      <c r="G19" s="20">
        <v>0</v>
      </c>
      <c r="H19" s="19">
        <v>2390</v>
      </c>
      <c r="I19" s="20">
        <v>34</v>
      </c>
      <c r="J19" s="21">
        <v>2424</v>
      </c>
    </row>
    <row r="20" spans="1:10" x14ac:dyDescent="0.25">
      <c r="A20" s="11" t="s">
        <v>14</v>
      </c>
      <c r="B20" s="20">
        <v>3447</v>
      </c>
      <c r="C20" s="20">
        <v>1479</v>
      </c>
      <c r="D20" s="20">
        <v>47</v>
      </c>
      <c r="E20" s="20">
        <v>130</v>
      </c>
      <c r="F20" s="20">
        <v>0</v>
      </c>
      <c r="G20" s="20">
        <v>0</v>
      </c>
      <c r="H20" s="19">
        <v>5103</v>
      </c>
      <c r="I20" s="20">
        <v>91</v>
      </c>
      <c r="J20" s="21">
        <v>5194</v>
      </c>
    </row>
    <row r="21" spans="1:10" x14ac:dyDescent="0.25">
      <c r="A21" s="11" t="s">
        <v>15</v>
      </c>
      <c r="B21" s="20">
        <v>1324</v>
      </c>
      <c r="C21" s="20">
        <v>495</v>
      </c>
      <c r="D21" s="20">
        <v>0</v>
      </c>
      <c r="E21" s="20">
        <v>32</v>
      </c>
      <c r="F21" s="20">
        <v>0</v>
      </c>
      <c r="G21" s="20">
        <v>0</v>
      </c>
      <c r="H21" s="19">
        <v>1851</v>
      </c>
      <c r="I21" s="20">
        <v>0</v>
      </c>
      <c r="J21" s="21">
        <v>1851</v>
      </c>
    </row>
    <row r="22" spans="1:10" x14ac:dyDescent="0.25">
      <c r="A22" s="11" t="s">
        <v>52</v>
      </c>
      <c r="B22" s="20">
        <v>4</v>
      </c>
      <c r="C22" s="20">
        <v>0</v>
      </c>
      <c r="D22" s="20">
        <v>0</v>
      </c>
      <c r="E22" s="20">
        <v>0</v>
      </c>
      <c r="F22" s="20">
        <v>0</v>
      </c>
      <c r="G22" s="20">
        <v>1</v>
      </c>
      <c r="H22" s="19">
        <v>5</v>
      </c>
      <c r="I22" s="20">
        <v>0</v>
      </c>
      <c r="J22" s="21">
        <v>5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43522</v>
      </c>
      <c r="C24" s="16">
        <f t="shared" ref="C24:J24" si="0">SUM(C7:C22)</f>
        <v>35345</v>
      </c>
      <c r="D24" s="16">
        <f t="shared" si="0"/>
        <v>14152</v>
      </c>
      <c r="E24" s="16">
        <f t="shared" si="0"/>
        <v>3906</v>
      </c>
      <c r="F24" s="16">
        <f t="shared" si="0"/>
        <v>14601</v>
      </c>
      <c r="G24" s="16">
        <f t="shared" si="0"/>
        <v>14443</v>
      </c>
      <c r="H24" s="16">
        <f t="shared" si="0"/>
        <v>125969</v>
      </c>
      <c r="I24" s="16">
        <f t="shared" si="0"/>
        <v>1286</v>
      </c>
      <c r="J24" s="16">
        <f t="shared" si="0"/>
        <v>127255</v>
      </c>
    </row>
    <row r="25" spans="1:10" x14ac:dyDescent="0.25">
      <c r="A25" s="11" t="s">
        <v>17</v>
      </c>
      <c r="B25" s="20">
        <v>2117</v>
      </c>
      <c r="C25" s="20">
        <v>1473</v>
      </c>
      <c r="D25" s="20">
        <v>388</v>
      </c>
      <c r="E25" s="20">
        <v>189</v>
      </c>
      <c r="F25" s="20">
        <v>1966</v>
      </c>
      <c r="G25" s="20">
        <v>1017</v>
      </c>
      <c r="H25" s="19">
        <v>7150</v>
      </c>
      <c r="I25" s="20">
        <v>88</v>
      </c>
      <c r="J25" s="21">
        <v>7238</v>
      </c>
    </row>
    <row r="26" spans="1:10" x14ac:dyDescent="0.25">
      <c r="A26" s="11" t="s">
        <v>18</v>
      </c>
      <c r="B26" s="20">
        <v>7750</v>
      </c>
      <c r="C26" s="20">
        <v>6362</v>
      </c>
      <c r="D26" s="20">
        <v>995</v>
      </c>
      <c r="E26" s="20">
        <v>425</v>
      </c>
      <c r="F26" s="20">
        <v>4709</v>
      </c>
      <c r="G26" s="20">
        <v>3172</v>
      </c>
      <c r="H26" s="19">
        <v>23413</v>
      </c>
      <c r="I26" s="20">
        <v>143</v>
      </c>
      <c r="J26" s="21">
        <v>23556</v>
      </c>
    </row>
    <row r="27" spans="1:10" x14ac:dyDescent="0.25">
      <c r="A27" s="11" t="s">
        <v>19</v>
      </c>
      <c r="B27" s="20">
        <v>22501</v>
      </c>
      <c r="C27" s="20">
        <v>15884</v>
      </c>
      <c r="D27" s="20">
        <v>3979</v>
      </c>
      <c r="E27" s="20">
        <v>1186</v>
      </c>
      <c r="F27" s="20">
        <v>15911</v>
      </c>
      <c r="G27" s="20">
        <v>8940</v>
      </c>
      <c r="H27" s="19">
        <v>68401</v>
      </c>
      <c r="I27" s="20">
        <v>694</v>
      </c>
      <c r="J27" s="21">
        <v>69095</v>
      </c>
    </row>
    <row r="28" spans="1:10" x14ac:dyDescent="0.25">
      <c r="A28" s="11" t="s">
        <v>20</v>
      </c>
      <c r="B28" s="20">
        <v>40946</v>
      </c>
      <c r="C28" s="20">
        <v>20799</v>
      </c>
      <c r="D28" s="20">
        <v>12076</v>
      </c>
      <c r="E28" s="20">
        <v>1898</v>
      </c>
      <c r="F28" s="20">
        <v>19694</v>
      </c>
      <c r="G28" s="20">
        <v>12795</v>
      </c>
      <c r="H28" s="19">
        <v>108208</v>
      </c>
      <c r="I28" s="20">
        <v>1150</v>
      </c>
      <c r="J28" s="21">
        <v>109358</v>
      </c>
    </row>
    <row r="29" spans="1:10" x14ac:dyDescent="0.25">
      <c r="A29" s="11" t="s">
        <v>21</v>
      </c>
      <c r="B29" s="20">
        <v>64033</v>
      </c>
      <c r="C29" s="20">
        <v>27708</v>
      </c>
      <c r="D29" s="20">
        <v>16603</v>
      </c>
      <c r="E29" s="20">
        <v>5512</v>
      </c>
      <c r="F29" s="20">
        <v>20606</v>
      </c>
      <c r="G29" s="20">
        <v>10695</v>
      </c>
      <c r="H29" s="19">
        <v>145157</v>
      </c>
      <c r="I29" s="20">
        <v>1754</v>
      </c>
      <c r="J29" s="21">
        <v>146911</v>
      </c>
    </row>
    <row r="30" spans="1:10" x14ac:dyDescent="0.25">
      <c r="A30" s="11" t="s">
        <v>22</v>
      </c>
      <c r="B30" s="20">
        <v>100436</v>
      </c>
      <c r="C30" s="20">
        <v>59875</v>
      </c>
      <c r="D30" s="20">
        <v>8852</v>
      </c>
      <c r="E30" s="20">
        <v>6503</v>
      </c>
      <c r="F30" s="20">
        <v>13528</v>
      </c>
      <c r="G30" s="20">
        <v>12908</v>
      </c>
      <c r="H30" s="19">
        <v>202102</v>
      </c>
      <c r="I30" s="20">
        <v>2270</v>
      </c>
      <c r="J30" s="21">
        <v>204372</v>
      </c>
    </row>
    <row r="31" spans="1:10" x14ac:dyDescent="0.25">
      <c r="A31" s="11" t="s">
        <v>23</v>
      </c>
      <c r="B31" s="20">
        <v>41743</v>
      </c>
      <c r="C31" s="20">
        <v>21100</v>
      </c>
      <c r="D31" s="20">
        <v>4662</v>
      </c>
      <c r="E31" s="20">
        <v>14684</v>
      </c>
      <c r="F31" s="20">
        <v>12457</v>
      </c>
      <c r="G31" s="20">
        <v>4615</v>
      </c>
      <c r="H31" s="19">
        <v>99261</v>
      </c>
      <c r="I31" s="20">
        <v>522</v>
      </c>
      <c r="J31" s="21">
        <v>99783</v>
      </c>
    </row>
    <row r="32" spans="1:10" x14ac:dyDescent="0.25">
      <c r="A32" s="11" t="s">
        <v>24</v>
      </c>
      <c r="B32" s="20">
        <v>18754</v>
      </c>
      <c r="C32" s="20">
        <v>7238</v>
      </c>
      <c r="D32" s="20">
        <v>1452</v>
      </c>
      <c r="E32" s="20">
        <v>3778</v>
      </c>
      <c r="F32" s="20">
        <v>346</v>
      </c>
      <c r="G32" s="20">
        <v>1260</v>
      </c>
      <c r="H32" s="19">
        <v>32828</v>
      </c>
      <c r="I32" s="20">
        <v>5</v>
      </c>
      <c r="J32" s="21">
        <v>32833</v>
      </c>
    </row>
    <row r="33" spans="1:10" x14ac:dyDescent="0.25">
      <c r="A33" s="11" t="s">
        <v>25</v>
      </c>
      <c r="B33" s="20">
        <v>15017</v>
      </c>
      <c r="C33" s="20">
        <v>6594</v>
      </c>
      <c r="D33" s="20">
        <v>1004</v>
      </c>
      <c r="E33" s="20">
        <v>1994</v>
      </c>
      <c r="F33" s="20">
        <v>850</v>
      </c>
      <c r="G33" s="20">
        <v>1775</v>
      </c>
      <c r="H33" s="19">
        <v>27234</v>
      </c>
      <c r="I33" s="20">
        <v>0</v>
      </c>
      <c r="J33" s="21">
        <v>27234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</v>
      </c>
      <c r="G34" s="20">
        <v>1</v>
      </c>
      <c r="H34" s="19">
        <v>2</v>
      </c>
      <c r="I34" s="20">
        <v>1</v>
      </c>
      <c r="J34" s="21">
        <v>3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313297</v>
      </c>
      <c r="C36" s="16">
        <f t="shared" ref="C36:J36" si="1">SUM(C25:C34)</f>
        <v>167033</v>
      </c>
      <c r="D36" s="16">
        <f t="shared" si="1"/>
        <v>50011</v>
      </c>
      <c r="E36" s="16">
        <f t="shared" si="1"/>
        <v>36169</v>
      </c>
      <c r="F36" s="16">
        <f t="shared" si="1"/>
        <v>90068</v>
      </c>
      <c r="G36" s="16">
        <f t="shared" si="1"/>
        <v>57178</v>
      </c>
      <c r="H36" s="16">
        <f t="shared" si="1"/>
        <v>713756</v>
      </c>
      <c r="I36" s="16">
        <f t="shared" si="1"/>
        <v>6627</v>
      </c>
      <c r="J36" s="16">
        <f t="shared" si="1"/>
        <v>720383</v>
      </c>
    </row>
    <row r="37" spans="1:10" ht="30" customHeight="1" thickTop="1" thickBot="1" x14ac:dyDescent="0.3">
      <c r="A37" s="7" t="s">
        <v>27</v>
      </c>
      <c r="B37" s="17">
        <f>SUM(B24,B36)</f>
        <v>356819</v>
      </c>
      <c r="C37" s="17">
        <f t="shared" ref="C37:J37" si="2">SUM(C24,C36)</f>
        <v>202378</v>
      </c>
      <c r="D37" s="17">
        <f t="shared" si="2"/>
        <v>64163</v>
      </c>
      <c r="E37" s="17">
        <f t="shared" si="2"/>
        <v>40075</v>
      </c>
      <c r="F37" s="17">
        <f t="shared" si="2"/>
        <v>104669</v>
      </c>
      <c r="G37" s="17">
        <f t="shared" si="2"/>
        <v>71621</v>
      </c>
      <c r="H37" s="17">
        <f t="shared" si="2"/>
        <v>839725</v>
      </c>
      <c r="I37" s="17">
        <f t="shared" si="2"/>
        <v>7913</v>
      </c>
      <c r="J37" s="17">
        <f t="shared" si="2"/>
        <v>847638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50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0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1</v>
      </c>
      <c r="I7" s="20">
        <v>0</v>
      </c>
      <c r="J7" s="21">
        <v>1</v>
      </c>
    </row>
    <row r="8" spans="1:10" x14ac:dyDescent="0.25">
      <c r="A8" s="11" t="s">
        <v>2</v>
      </c>
      <c r="B8" s="20">
        <v>0</v>
      </c>
      <c r="C8" s="20">
        <v>0</v>
      </c>
      <c r="D8" s="20">
        <v>1</v>
      </c>
      <c r="E8" s="20">
        <v>0</v>
      </c>
      <c r="F8" s="20">
        <v>4</v>
      </c>
      <c r="G8" s="20">
        <v>0</v>
      </c>
      <c r="H8" s="19">
        <v>5</v>
      </c>
      <c r="I8" s="20">
        <v>0</v>
      </c>
      <c r="J8" s="21">
        <v>5</v>
      </c>
    </row>
    <row r="9" spans="1:10" x14ac:dyDescent="0.25">
      <c r="A9" s="11" t="s">
        <v>3</v>
      </c>
      <c r="B9" s="20">
        <v>59</v>
      </c>
      <c r="C9" s="20">
        <v>36</v>
      </c>
      <c r="D9" s="20">
        <v>19</v>
      </c>
      <c r="E9" s="20">
        <v>5</v>
      </c>
      <c r="F9" s="20">
        <v>29</v>
      </c>
      <c r="G9" s="20">
        <v>28</v>
      </c>
      <c r="H9" s="19">
        <v>176</v>
      </c>
      <c r="I9" s="20">
        <v>2</v>
      </c>
      <c r="J9" s="21">
        <v>178</v>
      </c>
    </row>
    <row r="10" spans="1:10" x14ac:dyDescent="0.25">
      <c r="A10" s="11" t="s">
        <v>4</v>
      </c>
      <c r="B10" s="20">
        <v>163</v>
      </c>
      <c r="C10" s="20">
        <v>71</v>
      </c>
      <c r="D10" s="20">
        <v>37</v>
      </c>
      <c r="E10" s="20">
        <v>6</v>
      </c>
      <c r="F10" s="20">
        <v>121</v>
      </c>
      <c r="G10" s="20">
        <v>55</v>
      </c>
      <c r="H10" s="19">
        <v>453</v>
      </c>
      <c r="I10" s="20">
        <v>1</v>
      </c>
      <c r="J10" s="21">
        <v>454</v>
      </c>
    </row>
    <row r="11" spans="1:10" x14ac:dyDescent="0.25">
      <c r="A11" s="11" t="s">
        <v>5</v>
      </c>
      <c r="B11" s="20">
        <v>1445</v>
      </c>
      <c r="C11" s="20">
        <v>1706</v>
      </c>
      <c r="D11" s="20">
        <v>1378</v>
      </c>
      <c r="E11" s="20">
        <v>315</v>
      </c>
      <c r="F11" s="20">
        <v>982</v>
      </c>
      <c r="G11" s="20">
        <v>1148</v>
      </c>
      <c r="H11" s="19">
        <v>6974</v>
      </c>
      <c r="I11" s="20">
        <v>41</v>
      </c>
      <c r="J11" s="21">
        <v>7015</v>
      </c>
    </row>
    <row r="12" spans="1:10" x14ac:dyDescent="0.25">
      <c r="A12" s="11" t="s">
        <v>6</v>
      </c>
      <c r="B12" s="20">
        <v>3866</v>
      </c>
      <c r="C12" s="20">
        <v>5761</v>
      </c>
      <c r="D12" s="20">
        <v>3286</v>
      </c>
      <c r="E12" s="20">
        <v>978</v>
      </c>
      <c r="F12" s="20">
        <v>4117</v>
      </c>
      <c r="G12" s="20">
        <v>4375</v>
      </c>
      <c r="H12" s="19">
        <v>22383</v>
      </c>
      <c r="I12" s="20">
        <v>193</v>
      </c>
      <c r="J12" s="21">
        <v>22576</v>
      </c>
    </row>
    <row r="13" spans="1:10" x14ac:dyDescent="0.25">
      <c r="A13" s="11" t="s">
        <v>7</v>
      </c>
      <c r="B13" s="20">
        <v>6347</v>
      </c>
      <c r="C13" s="20">
        <v>6500</v>
      </c>
      <c r="D13" s="20">
        <v>4245</v>
      </c>
      <c r="E13" s="20">
        <v>1090</v>
      </c>
      <c r="F13" s="20">
        <v>3928</v>
      </c>
      <c r="G13" s="20">
        <v>4786</v>
      </c>
      <c r="H13" s="19">
        <v>26896</v>
      </c>
      <c r="I13" s="20">
        <v>270</v>
      </c>
      <c r="J13" s="21">
        <v>27166</v>
      </c>
    </row>
    <row r="14" spans="1:10" x14ac:dyDescent="0.25">
      <c r="A14" s="11" t="s">
        <v>8</v>
      </c>
      <c r="B14" s="20">
        <v>10407</v>
      </c>
      <c r="C14" s="20">
        <v>10288</v>
      </c>
      <c r="D14" s="20">
        <v>3422</v>
      </c>
      <c r="E14" s="20">
        <v>795</v>
      </c>
      <c r="F14" s="20">
        <v>3244</v>
      </c>
      <c r="G14" s="20">
        <v>3172</v>
      </c>
      <c r="H14" s="19">
        <v>31328</v>
      </c>
      <c r="I14" s="20">
        <v>494</v>
      </c>
      <c r="J14" s="21">
        <v>31822</v>
      </c>
    </row>
    <row r="15" spans="1:10" x14ac:dyDescent="0.25">
      <c r="A15" s="11" t="s">
        <v>9</v>
      </c>
      <c r="B15" s="20">
        <v>7762</v>
      </c>
      <c r="C15" s="20">
        <v>4987</v>
      </c>
      <c r="D15" s="20">
        <v>914</v>
      </c>
      <c r="E15" s="20">
        <v>208</v>
      </c>
      <c r="F15" s="20">
        <v>1114</v>
      </c>
      <c r="G15" s="20">
        <v>512</v>
      </c>
      <c r="H15" s="19">
        <v>15497</v>
      </c>
      <c r="I15" s="20">
        <v>89</v>
      </c>
      <c r="J15" s="21">
        <v>15586</v>
      </c>
    </row>
    <row r="16" spans="1:10" x14ac:dyDescent="0.25">
      <c r="A16" s="11" t="s">
        <v>10</v>
      </c>
      <c r="B16" s="20">
        <v>5602</v>
      </c>
      <c r="C16" s="20">
        <v>2700</v>
      </c>
      <c r="D16" s="20">
        <v>794</v>
      </c>
      <c r="E16" s="20">
        <v>246</v>
      </c>
      <c r="F16" s="20">
        <v>1048</v>
      </c>
      <c r="G16" s="20">
        <v>355</v>
      </c>
      <c r="H16" s="19">
        <v>10745</v>
      </c>
      <c r="I16" s="20">
        <v>83</v>
      </c>
      <c r="J16" s="21">
        <v>10828</v>
      </c>
    </row>
    <row r="17" spans="1:10" x14ac:dyDescent="0.25">
      <c r="A17" s="11" t="s">
        <v>11</v>
      </c>
      <c r="B17" s="20">
        <v>378</v>
      </c>
      <c r="C17" s="20">
        <v>89</v>
      </c>
      <c r="D17" s="20">
        <v>0</v>
      </c>
      <c r="E17" s="20">
        <v>14</v>
      </c>
      <c r="F17" s="20">
        <v>0</v>
      </c>
      <c r="G17" s="20">
        <v>0</v>
      </c>
      <c r="H17" s="19">
        <v>481</v>
      </c>
      <c r="I17" s="20">
        <v>0</v>
      </c>
      <c r="J17" s="21">
        <v>481</v>
      </c>
    </row>
    <row r="18" spans="1:10" x14ac:dyDescent="0.25">
      <c r="A18" s="11" t="s">
        <v>12</v>
      </c>
      <c r="B18" s="20">
        <v>1366</v>
      </c>
      <c r="C18" s="20">
        <v>617</v>
      </c>
      <c r="D18" s="20">
        <v>19</v>
      </c>
      <c r="E18" s="20">
        <v>42</v>
      </c>
      <c r="F18" s="20">
        <v>0</v>
      </c>
      <c r="G18" s="20">
        <v>0</v>
      </c>
      <c r="H18" s="19">
        <v>2044</v>
      </c>
      <c r="I18" s="20">
        <v>31</v>
      </c>
      <c r="J18" s="21">
        <v>2075</v>
      </c>
    </row>
    <row r="19" spans="1:10" x14ac:dyDescent="0.25">
      <c r="A19" s="11" t="s">
        <v>13</v>
      </c>
      <c r="B19" s="20">
        <v>1729</v>
      </c>
      <c r="C19" s="20">
        <v>548</v>
      </c>
      <c r="D19" s="20">
        <v>32</v>
      </c>
      <c r="E19" s="20">
        <v>88</v>
      </c>
      <c r="F19" s="20">
        <v>0</v>
      </c>
      <c r="G19" s="20">
        <v>0</v>
      </c>
      <c r="H19" s="19">
        <v>2397</v>
      </c>
      <c r="I19" s="20">
        <v>47</v>
      </c>
      <c r="J19" s="21">
        <v>2444</v>
      </c>
    </row>
    <row r="20" spans="1:10" x14ac:dyDescent="0.25">
      <c r="A20" s="11" t="s">
        <v>14</v>
      </c>
      <c r="B20" s="20">
        <v>3475</v>
      </c>
      <c r="C20" s="20">
        <v>1484</v>
      </c>
      <c r="D20" s="20">
        <v>45</v>
      </c>
      <c r="E20" s="20">
        <v>140</v>
      </c>
      <c r="F20" s="20">
        <v>0</v>
      </c>
      <c r="G20" s="20">
        <v>0</v>
      </c>
      <c r="H20" s="19">
        <v>5144</v>
      </c>
      <c r="I20" s="20">
        <v>83</v>
      </c>
      <c r="J20" s="21">
        <v>5227</v>
      </c>
    </row>
    <row r="21" spans="1:10" x14ac:dyDescent="0.25">
      <c r="A21" s="11" t="s">
        <v>15</v>
      </c>
      <c r="B21" s="20">
        <v>1311</v>
      </c>
      <c r="C21" s="20">
        <v>503</v>
      </c>
      <c r="D21" s="20">
        <v>0</v>
      </c>
      <c r="E21" s="20">
        <v>17</v>
      </c>
      <c r="F21" s="20">
        <v>0</v>
      </c>
      <c r="G21" s="20">
        <v>0</v>
      </c>
      <c r="H21" s="19">
        <v>1831</v>
      </c>
      <c r="I21" s="20">
        <v>0</v>
      </c>
      <c r="J21" s="21">
        <v>1831</v>
      </c>
    </row>
    <row r="22" spans="1:10" x14ac:dyDescent="0.25">
      <c r="A22" s="11" t="s">
        <v>52</v>
      </c>
      <c r="B22" s="20">
        <v>2</v>
      </c>
      <c r="C22" s="20">
        <v>0</v>
      </c>
      <c r="D22" s="20">
        <v>0</v>
      </c>
      <c r="E22" s="20">
        <v>0</v>
      </c>
      <c r="F22" s="20">
        <v>1</v>
      </c>
      <c r="G22" s="20">
        <v>0</v>
      </c>
      <c r="H22" s="19">
        <v>3</v>
      </c>
      <c r="I22" s="20">
        <v>0</v>
      </c>
      <c r="J22" s="21">
        <v>3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43912</v>
      </c>
      <c r="C24" s="16">
        <f t="shared" ref="C24:J24" si="0">SUM(C7:C22)</f>
        <v>35290</v>
      </c>
      <c r="D24" s="16">
        <f t="shared" si="0"/>
        <v>14192</v>
      </c>
      <c r="E24" s="16">
        <f t="shared" si="0"/>
        <v>3944</v>
      </c>
      <c r="F24" s="16">
        <f t="shared" si="0"/>
        <v>14589</v>
      </c>
      <c r="G24" s="16">
        <f t="shared" si="0"/>
        <v>14431</v>
      </c>
      <c r="H24" s="16">
        <f t="shared" si="0"/>
        <v>126358</v>
      </c>
      <c r="I24" s="16">
        <f t="shared" si="0"/>
        <v>1334</v>
      </c>
      <c r="J24" s="16">
        <f t="shared" si="0"/>
        <v>127692</v>
      </c>
    </row>
    <row r="25" spans="1:10" x14ac:dyDescent="0.25">
      <c r="A25" s="11" t="s">
        <v>17</v>
      </c>
      <c r="B25" s="20">
        <v>2113</v>
      </c>
      <c r="C25" s="20">
        <v>1487</v>
      </c>
      <c r="D25" s="20">
        <v>386</v>
      </c>
      <c r="E25" s="20">
        <v>181</v>
      </c>
      <c r="F25" s="20">
        <v>1967</v>
      </c>
      <c r="G25" s="20">
        <v>1018</v>
      </c>
      <c r="H25" s="19">
        <v>7152</v>
      </c>
      <c r="I25" s="20">
        <v>87</v>
      </c>
      <c r="J25" s="21">
        <v>7239</v>
      </c>
    </row>
    <row r="26" spans="1:10" x14ac:dyDescent="0.25">
      <c r="A26" s="11" t="s">
        <v>18</v>
      </c>
      <c r="B26" s="20">
        <v>7762</v>
      </c>
      <c r="C26" s="20">
        <v>6248</v>
      </c>
      <c r="D26" s="20">
        <v>991</v>
      </c>
      <c r="E26" s="20">
        <v>432</v>
      </c>
      <c r="F26" s="20">
        <v>4716</v>
      </c>
      <c r="G26" s="20">
        <v>3156</v>
      </c>
      <c r="H26" s="19">
        <v>23305</v>
      </c>
      <c r="I26" s="20">
        <v>145</v>
      </c>
      <c r="J26" s="21">
        <v>23450</v>
      </c>
    </row>
    <row r="27" spans="1:10" x14ac:dyDescent="0.25">
      <c r="A27" s="11" t="s">
        <v>19</v>
      </c>
      <c r="B27" s="20">
        <v>22554</v>
      </c>
      <c r="C27" s="20">
        <v>15759</v>
      </c>
      <c r="D27" s="20">
        <v>3894</v>
      </c>
      <c r="E27" s="20">
        <v>1171</v>
      </c>
      <c r="F27" s="20">
        <v>15929</v>
      </c>
      <c r="G27" s="20">
        <v>8931</v>
      </c>
      <c r="H27" s="19">
        <v>68238</v>
      </c>
      <c r="I27" s="20">
        <v>691</v>
      </c>
      <c r="J27" s="21">
        <v>68929</v>
      </c>
    </row>
    <row r="28" spans="1:10" x14ac:dyDescent="0.25">
      <c r="A28" s="11" t="s">
        <v>20</v>
      </c>
      <c r="B28" s="20">
        <v>40632</v>
      </c>
      <c r="C28" s="20">
        <v>20796</v>
      </c>
      <c r="D28" s="20">
        <v>12116</v>
      </c>
      <c r="E28" s="20">
        <v>1923</v>
      </c>
      <c r="F28" s="20">
        <v>19611</v>
      </c>
      <c r="G28" s="20">
        <v>12774</v>
      </c>
      <c r="H28" s="19">
        <v>107852</v>
      </c>
      <c r="I28" s="20">
        <v>1150</v>
      </c>
      <c r="J28" s="21">
        <v>109002</v>
      </c>
    </row>
    <row r="29" spans="1:10" x14ac:dyDescent="0.25">
      <c r="A29" s="11" t="s">
        <v>21</v>
      </c>
      <c r="B29" s="20">
        <v>64245</v>
      </c>
      <c r="C29" s="20">
        <v>27492</v>
      </c>
      <c r="D29" s="20">
        <v>16601</v>
      </c>
      <c r="E29" s="20">
        <v>5318</v>
      </c>
      <c r="F29" s="20">
        <v>20497</v>
      </c>
      <c r="G29" s="20">
        <v>10645</v>
      </c>
      <c r="H29" s="19">
        <v>144798</v>
      </c>
      <c r="I29" s="20">
        <v>1772</v>
      </c>
      <c r="J29" s="21">
        <v>146570</v>
      </c>
    </row>
    <row r="30" spans="1:10" x14ac:dyDescent="0.25">
      <c r="A30" s="11" t="s">
        <v>22</v>
      </c>
      <c r="B30" s="20">
        <v>100537</v>
      </c>
      <c r="C30" s="20">
        <v>59615</v>
      </c>
      <c r="D30" s="20">
        <v>9024</v>
      </c>
      <c r="E30" s="20">
        <v>6375</v>
      </c>
      <c r="F30" s="20">
        <v>13798</v>
      </c>
      <c r="G30" s="20">
        <v>13058</v>
      </c>
      <c r="H30" s="19">
        <v>202407</v>
      </c>
      <c r="I30" s="20">
        <v>2242</v>
      </c>
      <c r="J30" s="21">
        <v>204649</v>
      </c>
    </row>
    <row r="31" spans="1:10" x14ac:dyDescent="0.25">
      <c r="A31" s="11" t="s">
        <v>23</v>
      </c>
      <c r="B31" s="20">
        <v>41768</v>
      </c>
      <c r="C31" s="20">
        <v>20907</v>
      </c>
      <c r="D31" s="20">
        <v>4695</v>
      </c>
      <c r="E31" s="20">
        <v>15129</v>
      </c>
      <c r="F31" s="20">
        <v>12507</v>
      </c>
      <c r="G31" s="20">
        <v>4629</v>
      </c>
      <c r="H31" s="19">
        <v>99635</v>
      </c>
      <c r="I31" s="20">
        <v>492</v>
      </c>
      <c r="J31" s="21">
        <v>100127</v>
      </c>
    </row>
    <row r="32" spans="1:10" x14ac:dyDescent="0.25">
      <c r="A32" s="11" t="s">
        <v>24</v>
      </c>
      <c r="B32" s="20">
        <v>18937</v>
      </c>
      <c r="C32" s="20">
        <v>7295</v>
      </c>
      <c r="D32" s="20">
        <v>1455</v>
      </c>
      <c r="E32" s="20">
        <v>3611</v>
      </c>
      <c r="F32" s="20">
        <v>358</v>
      </c>
      <c r="G32" s="20">
        <v>1305</v>
      </c>
      <c r="H32" s="19">
        <v>32961</v>
      </c>
      <c r="I32" s="20">
        <v>5</v>
      </c>
      <c r="J32" s="21">
        <v>32966</v>
      </c>
    </row>
    <row r="33" spans="1:10" x14ac:dyDescent="0.25">
      <c r="A33" s="11" t="s">
        <v>25</v>
      </c>
      <c r="B33" s="20">
        <v>14843</v>
      </c>
      <c r="C33" s="20">
        <v>6414</v>
      </c>
      <c r="D33" s="20">
        <v>1024</v>
      </c>
      <c r="E33" s="20">
        <v>1963</v>
      </c>
      <c r="F33" s="20">
        <v>905</v>
      </c>
      <c r="G33" s="20">
        <v>1745</v>
      </c>
      <c r="H33" s="19">
        <v>26894</v>
      </c>
      <c r="I33" s="20">
        <v>0</v>
      </c>
      <c r="J33" s="21">
        <v>26894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</v>
      </c>
      <c r="G34" s="20">
        <v>0</v>
      </c>
      <c r="H34" s="19">
        <v>1</v>
      </c>
      <c r="I34" s="20">
        <v>0</v>
      </c>
      <c r="J34" s="21">
        <v>1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313391</v>
      </c>
      <c r="C36" s="16">
        <f t="shared" ref="C36:J36" si="1">SUM(C25:C34)</f>
        <v>166013</v>
      </c>
      <c r="D36" s="16">
        <f t="shared" si="1"/>
        <v>50186</v>
      </c>
      <c r="E36" s="16">
        <f t="shared" si="1"/>
        <v>36103</v>
      </c>
      <c r="F36" s="16">
        <f t="shared" si="1"/>
        <v>90289</v>
      </c>
      <c r="G36" s="16">
        <f t="shared" si="1"/>
        <v>57261</v>
      </c>
      <c r="H36" s="16">
        <f t="shared" si="1"/>
        <v>713243</v>
      </c>
      <c r="I36" s="16">
        <f t="shared" si="1"/>
        <v>6584</v>
      </c>
      <c r="J36" s="16">
        <f t="shared" si="1"/>
        <v>719827</v>
      </c>
    </row>
    <row r="37" spans="1:10" ht="30" customHeight="1" thickTop="1" thickBot="1" x14ac:dyDescent="0.3">
      <c r="A37" s="7" t="s">
        <v>27</v>
      </c>
      <c r="B37" s="17">
        <f>SUM(B24,B36)</f>
        <v>357303</v>
      </c>
      <c r="C37" s="17">
        <f t="shared" ref="C37:J37" si="2">SUM(C24,C36)</f>
        <v>201303</v>
      </c>
      <c r="D37" s="17">
        <f t="shared" si="2"/>
        <v>64378</v>
      </c>
      <c r="E37" s="17">
        <f t="shared" si="2"/>
        <v>40047</v>
      </c>
      <c r="F37" s="17">
        <f t="shared" si="2"/>
        <v>104878</v>
      </c>
      <c r="G37" s="17">
        <f t="shared" si="2"/>
        <v>71692</v>
      </c>
      <c r="H37" s="17">
        <f t="shared" si="2"/>
        <v>839601</v>
      </c>
      <c r="I37" s="17">
        <f t="shared" si="2"/>
        <v>7918</v>
      </c>
      <c r="J37" s="17">
        <f t="shared" si="2"/>
        <v>847519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style="8" customWidth="1"/>
  </cols>
  <sheetData>
    <row r="1" spans="1:10" ht="19.5" thickTop="1" x14ac:dyDescent="0.3">
      <c r="A1" s="29" t="s">
        <v>28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.75" x14ac:dyDescent="0.3">
      <c r="A2" s="32" t="s">
        <v>30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8.75" x14ac:dyDescent="0.3">
      <c r="A3" s="35" t="s">
        <v>51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19.5" thickBot="1" x14ac:dyDescent="0.35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15.75" thickBot="1" x14ac:dyDescent="0.3">
      <c r="A5" s="41"/>
      <c r="B5" s="42"/>
      <c r="C5" s="42"/>
      <c r="D5" s="42"/>
      <c r="E5" s="42"/>
      <c r="F5" s="42"/>
      <c r="G5" s="42"/>
      <c r="H5" s="42"/>
      <c r="I5" s="42"/>
      <c r="J5" s="43"/>
    </row>
    <row r="6" spans="1:10" ht="30.75" thickBot="1" x14ac:dyDescent="0.3">
      <c r="A6" s="10" t="s">
        <v>0</v>
      </c>
      <c r="B6" s="22" t="s">
        <v>31</v>
      </c>
      <c r="C6" s="23" t="s">
        <v>32</v>
      </c>
      <c r="D6" s="23" t="s">
        <v>33</v>
      </c>
      <c r="E6" s="23" t="s">
        <v>34</v>
      </c>
      <c r="F6" s="23" t="s">
        <v>35</v>
      </c>
      <c r="G6" s="24" t="s">
        <v>36</v>
      </c>
      <c r="H6" s="25" t="s">
        <v>37</v>
      </c>
      <c r="I6" s="26" t="s">
        <v>38</v>
      </c>
      <c r="J6" s="27" t="s">
        <v>39</v>
      </c>
    </row>
    <row r="7" spans="1:10" ht="15.75" thickTop="1" x14ac:dyDescent="0.25">
      <c r="A7" s="11" t="s">
        <v>1</v>
      </c>
      <c r="B7" s="20">
        <v>1</v>
      </c>
      <c r="C7" s="20">
        <v>0</v>
      </c>
      <c r="D7" s="20">
        <v>0</v>
      </c>
      <c r="E7" s="20">
        <v>0</v>
      </c>
      <c r="F7" s="20">
        <v>1</v>
      </c>
      <c r="G7" s="20">
        <v>0</v>
      </c>
      <c r="H7" s="19">
        <v>2</v>
      </c>
      <c r="I7" s="20">
        <v>0</v>
      </c>
      <c r="J7" s="21">
        <v>2</v>
      </c>
    </row>
    <row r="8" spans="1:10" x14ac:dyDescent="0.25">
      <c r="A8" s="11" t="s">
        <v>2</v>
      </c>
      <c r="B8" s="20">
        <v>1</v>
      </c>
      <c r="C8" s="20">
        <v>0</v>
      </c>
      <c r="D8" s="20">
        <v>1</v>
      </c>
      <c r="E8" s="20">
        <v>0</v>
      </c>
      <c r="F8" s="20">
        <v>4</v>
      </c>
      <c r="G8" s="20">
        <v>0</v>
      </c>
      <c r="H8" s="19">
        <v>6</v>
      </c>
      <c r="I8" s="20">
        <v>0</v>
      </c>
      <c r="J8" s="21">
        <v>6</v>
      </c>
    </row>
    <row r="9" spans="1:10" x14ac:dyDescent="0.25">
      <c r="A9" s="11" t="s">
        <v>3</v>
      </c>
      <c r="B9" s="20">
        <v>62</v>
      </c>
      <c r="C9" s="20">
        <v>36</v>
      </c>
      <c r="D9" s="20">
        <v>18</v>
      </c>
      <c r="E9" s="20">
        <v>5</v>
      </c>
      <c r="F9" s="20">
        <v>28</v>
      </c>
      <c r="G9" s="20">
        <v>27</v>
      </c>
      <c r="H9" s="19">
        <v>176</v>
      </c>
      <c r="I9" s="20">
        <v>2</v>
      </c>
      <c r="J9" s="21">
        <v>178</v>
      </c>
    </row>
    <row r="10" spans="1:10" x14ac:dyDescent="0.25">
      <c r="A10" s="11" t="s">
        <v>4</v>
      </c>
      <c r="B10" s="20">
        <v>160</v>
      </c>
      <c r="C10" s="20">
        <v>68</v>
      </c>
      <c r="D10" s="20">
        <v>37</v>
      </c>
      <c r="E10" s="20">
        <v>7</v>
      </c>
      <c r="F10" s="20">
        <v>117</v>
      </c>
      <c r="G10" s="20">
        <v>55</v>
      </c>
      <c r="H10" s="19">
        <v>444</v>
      </c>
      <c r="I10" s="20">
        <v>1</v>
      </c>
      <c r="J10" s="21">
        <v>445</v>
      </c>
    </row>
    <row r="11" spans="1:10" x14ac:dyDescent="0.25">
      <c r="A11" s="11" t="s">
        <v>5</v>
      </c>
      <c r="B11" s="20">
        <v>1463</v>
      </c>
      <c r="C11" s="20">
        <v>1716</v>
      </c>
      <c r="D11" s="20">
        <v>1394</v>
      </c>
      <c r="E11" s="20">
        <v>313</v>
      </c>
      <c r="F11" s="20">
        <v>973</v>
      </c>
      <c r="G11" s="20">
        <v>1150</v>
      </c>
      <c r="H11" s="19">
        <v>7009</v>
      </c>
      <c r="I11" s="20">
        <v>43</v>
      </c>
      <c r="J11" s="21">
        <v>7052</v>
      </c>
    </row>
    <row r="12" spans="1:10" x14ac:dyDescent="0.25">
      <c r="A12" s="11" t="s">
        <v>6</v>
      </c>
      <c r="B12" s="20">
        <v>3824</v>
      </c>
      <c r="C12" s="20">
        <v>5836</v>
      </c>
      <c r="D12" s="20">
        <v>3287</v>
      </c>
      <c r="E12" s="20">
        <v>955</v>
      </c>
      <c r="F12" s="20">
        <v>4148</v>
      </c>
      <c r="G12" s="20">
        <v>4327</v>
      </c>
      <c r="H12" s="19">
        <v>22377</v>
      </c>
      <c r="I12" s="20">
        <v>191</v>
      </c>
      <c r="J12" s="21">
        <v>22568</v>
      </c>
    </row>
    <row r="13" spans="1:10" x14ac:dyDescent="0.25">
      <c r="A13" s="11" t="s">
        <v>7</v>
      </c>
      <c r="B13" s="20">
        <v>6324</v>
      </c>
      <c r="C13" s="20">
        <v>6365</v>
      </c>
      <c r="D13" s="20">
        <v>4228</v>
      </c>
      <c r="E13" s="20">
        <v>1083</v>
      </c>
      <c r="F13" s="20">
        <v>3982</v>
      </c>
      <c r="G13" s="20">
        <v>4717</v>
      </c>
      <c r="H13" s="19">
        <v>26699</v>
      </c>
      <c r="I13" s="20">
        <v>278</v>
      </c>
      <c r="J13" s="21">
        <v>26977</v>
      </c>
    </row>
    <row r="14" spans="1:10" x14ac:dyDescent="0.25">
      <c r="A14" s="11" t="s">
        <v>8</v>
      </c>
      <c r="B14" s="20">
        <v>10439</v>
      </c>
      <c r="C14" s="20">
        <v>10261</v>
      </c>
      <c r="D14" s="20">
        <v>3473</v>
      </c>
      <c r="E14" s="20">
        <v>828</v>
      </c>
      <c r="F14" s="20">
        <v>3238</v>
      </c>
      <c r="G14" s="20">
        <v>3145</v>
      </c>
      <c r="H14" s="19">
        <v>31384</v>
      </c>
      <c r="I14" s="20">
        <v>498</v>
      </c>
      <c r="J14" s="21">
        <v>31882</v>
      </c>
    </row>
    <row r="15" spans="1:10" x14ac:dyDescent="0.25">
      <c r="A15" s="11" t="s">
        <v>9</v>
      </c>
      <c r="B15" s="20">
        <v>8212</v>
      </c>
      <c r="C15" s="20">
        <v>4942</v>
      </c>
      <c r="D15" s="20">
        <v>935</v>
      </c>
      <c r="E15" s="20">
        <v>181</v>
      </c>
      <c r="F15" s="20">
        <v>1044</v>
      </c>
      <c r="G15" s="20">
        <v>526</v>
      </c>
      <c r="H15" s="19">
        <v>15840</v>
      </c>
      <c r="I15" s="20">
        <v>88</v>
      </c>
      <c r="J15" s="21">
        <v>15928</v>
      </c>
    </row>
    <row r="16" spans="1:10" x14ac:dyDescent="0.25">
      <c r="A16" s="11" t="s">
        <v>10</v>
      </c>
      <c r="B16" s="20">
        <v>5606</v>
      </c>
      <c r="C16" s="20">
        <v>2711</v>
      </c>
      <c r="D16" s="20">
        <v>764</v>
      </c>
      <c r="E16" s="20">
        <v>241</v>
      </c>
      <c r="F16" s="20">
        <v>1063</v>
      </c>
      <c r="G16" s="20">
        <v>355</v>
      </c>
      <c r="H16" s="19">
        <v>10740</v>
      </c>
      <c r="I16" s="20">
        <v>83</v>
      </c>
      <c r="J16" s="21">
        <v>10823</v>
      </c>
    </row>
    <row r="17" spans="1:10" x14ac:dyDescent="0.25">
      <c r="A17" s="11" t="s">
        <v>11</v>
      </c>
      <c r="B17" s="20">
        <v>379</v>
      </c>
      <c r="C17" s="20">
        <v>88</v>
      </c>
      <c r="D17" s="20">
        <v>0</v>
      </c>
      <c r="E17" s="20">
        <v>13</v>
      </c>
      <c r="F17" s="20">
        <v>0</v>
      </c>
      <c r="G17" s="20">
        <v>0</v>
      </c>
      <c r="H17" s="19">
        <v>480</v>
      </c>
      <c r="I17" s="20">
        <v>0</v>
      </c>
      <c r="J17" s="21">
        <v>480</v>
      </c>
    </row>
    <row r="18" spans="1:10" x14ac:dyDescent="0.25">
      <c r="A18" s="11" t="s">
        <v>12</v>
      </c>
      <c r="B18" s="20">
        <v>1366</v>
      </c>
      <c r="C18" s="20">
        <v>626</v>
      </c>
      <c r="D18" s="20">
        <v>19</v>
      </c>
      <c r="E18" s="20">
        <v>40</v>
      </c>
      <c r="F18" s="20">
        <v>0</v>
      </c>
      <c r="G18" s="20">
        <v>0</v>
      </c>
      <c r="H18" s="19">
        <v>2051</v>
      </c>
      <c r="I18" s="20">
        <v>32</v>
      </c>
      <c r="J18" s="21">
        <v>2083</v>
      </c>
    </row>
    <row r="19" spans="1:10" x14ac:dyDescent="0.25">
      <c r="A19" s="11" t="s">
        <v>13</v>
      </c>
      <c r="B19" s="20">
        <v>1731</v>
      </c>
      <c r="C19" s="20">
        <v>543</v>
      </c>
      <c r="D19" s="20">
        <v>33</v>
      </c>
      <c r="E19" s="20">
        <v>90</v>
      </c>
      <c r="F19" s="20">
        <v>0</v>
      </c>
      <c r="G19" s="20">
        <v>0</v>
      </c>
      <c r="H19" s="19">
        <v>2397</v>
      </c>
      <c r="I19" s="20">
        <v>49</v>
      </c>
      <c r="J19" s="21">
        <v>2446</v>
      </c>
    </row>
    <row r="20" spans="1:10" x14ac:dyDescent="0.25">
      <c r="A20" s="11" t="s">
        <v>14</v>
      </c>
      <c r="B20" s="20">
        <v>3499</v>
      </c>
      <c r="C20" s="20">
        <v>1481</v>
      </c>
      <c r="D20" s="20">
        <v>43</v>
      </c>
      <c r="E20" s="20">
        <v>136</v>
      </c>
      <c r="F20" s="20">
        <v>0</v>
      </c>
      <c r="G20" s="20">
        <v>0</v>
      </c>
      <c r="H20" s="19">
        <v>5159</v>
      </c>
      <c r="I20" s="20">
        <v>79</v>
      </c>
      <c r="J20" s="21">
        <v>5238</v>
      </c>
    </row>
    <row r="21" spans="1:10" x14ac:dyDescent="0.25">
      <c r="A21" s="11" t="s">
        <v>15</v>
      </c>
      <c r="B21" s="20">
        <v>1337</v>
      </c>
      <c r="C21" s="20">
        <v>502</v>
      </c>
      <c r="D21" s="20">
        <v>0</v>
      </c>
      <c r="E21" s="20">
        <v>18</v>
      </c>
      <c r="F21" s="20">
        <v>0</v>
      </c>
      <c r="G21" s="20">
        <v>0</v>
      </c>
      <c r="H21" s="19">
        <v>1857</v>
      </c>
      <c r="I21" s="20">
        <v>0</v>
      </c>
      <c r="J21" s="21">
        <v>1857</v>
      </c>
    </row>
    <row r="22" spans="1:10" x14ac:dyDescent="0.25">
      <c r="A22" s="11" t="s">
        <v>52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1</v>
      </c>
      <c r="H22" s="19">
        <v>1</v>
      </c>
      <c r="I22" s="20">
        <v>0</v>
      </c>
      <c r="J22" s="21">
        <v>1</v>
      </c>
    </row>
    <row r="23" spans="1:10" ht="15.75" thickBot="1" x14ac:dyDescent="0.3">
      <c r="A23" s="12"/>
      <c r="B23" s="3"/>
      <c r="C23" s="4"/>
      <c r="D23" s="4"/>
      <c r="E23" s="4"/>
      <c r="F23" s="4"/>
      <c r="G23" s="14"/>
      <c r="H23" s="19"/>
      <c r="I23" s="3"/>
      <c r="J23" s="21"/>
    </row>
    <row r="24" spans="1:10" ht="24.95" customHeight="1" thickBot="1" x14ac:dyDescent="0.3">
      <c r="A24" s="13" t="s">
        <v>16</v>
      </c>
      <c r="B24" s="16">
        <f>SUM(B7:B22)</f>
        <v>44404</v>
      </c>
      <c r="C24" s="16">
        <f t="shared" ref="C24:J24" si="0">SUM(C7:C22)</f>
        <v>35175</v>
      </c>
      <c r="D24" s="16">
        <f t="shared" si="0"/>
        <v>14232</v>
      </c>
      <c r="E24" s="16">
        <f t="shared" si="0"/>
        <v>3910</v>
      </c>
      <c r="F24" s="16">
        <f t="shared" si="0"/>
        <v>14598</v>
      </c>
      <c r="G24" s="16">
        <f t="shared" si="0"/>
        <v>14303</v>
      </c>
      <c r="H24" s="16">
        <f t="shared" si="0"/>
        <v>126622</v>
      </c>
      <c r="I24" s="16">
        <f t="shared" si="0"/>
        <v>1344</v>
      </c>
      <c r="J24" s="16">
        <f t="shared" si="0"/>
        <v>127966</v>
      </c>
    </row>
    <row r="25" spans="1:10" x14ac:dyDescent="0.25">
      <c r="A25" s="11" t="s">
        <v>17</v>
      </c>
      <c r="B25" s="20">
        <v>2093</v>
      </c>
      <c r="C25" s="20">
        <v>1478</v>
      </c>
      <c r="D25" s="20">
        <v>381</v>
      </c>
      <c r="E25" s="20">
        <v>182</v>
      </c>
      <c r="F25" s="20">
        <v>1971</v>
      </c>
      <c r="G25" s="20">
        <v>1018</v>
      </c>
      <c r="H25" s="19">
        <v>7123</v>
      </c>
      <c r="I25" s="20">
        <v>87</v>
      </c>
      <c r="J25" s="21">
        <v>7210</v>
      </c>
    </row>
    <row r="26" spans="1:10" x14ac:dyDescent="0.25">
      <c r="A26" s="11" t="s">
        <v>18</v>
      </c>
      <c r="B26" s="20">
        <v>7757</v>
      </c>
      <c r="C26" s="20">
        <v>6281</v>
      </c>
      <c r="D26" s="20">
        <v>991</v>
      </c>
      <c r="E26" s="20">
        <v>435</v>
      </c>
      <c r="F26" s="20">
        <v>4699</v>
      </c>
      <c r="G26" s="20">
        <v>3148</v>
      </c>
      <c r="H26" s="19">
        <v>23311</v>
      </c>
      <c r="I26" s="20">
        <v>149</v>
      </c>
      <c r="J26" s="21">
        <v>23460</v>
      </c>
    </row>
    <row r="27" spans="1:10" x14ac:dyDescent="0.25">
      <c r="A27" s="11" t="s">
        <v>19</v>
      </c>
      <c r="B27" s="20">
        <v>22536</v>
      </c>
      <c r="C27" s="20">
        <v>15589</v>
      </c>
      <c r="D27" s="20">
        <v>3900</v>
      </c>
      <c r="E27" s="20">
        <v>1153</v>
      </c>
      <c r="F27" s="20">
        <v>15878</v>
      </c>
      <c r="G27" s="20">
        <v>8893</v>
      </c>
      <c r="H27" s="19">
        <v>67949</v>
      </c>
      <c r="I27" s="20">
        <v>696</v>
      </c>
      <c r="J27" s="21">
        <v>68645</v>
      </c>
    </row>
    <row r="28" spans="1:10" x14ac:dyDescent="0.25">
      <c r="A28" s="11" t="s">
        <v>20</v>
      </c>
      <c r="B28" s="20">
        <v>40340</v>
      </c>
      <c r="C28" s="20">
        <v>20880</v>
      </c>
      <c r="D28" s="20">
        <v>12101</v>
      </c>
      <c r="E28" s="20">
        <v>1896</v>
      </c>
      <c r="F28" s="20">
        <v>19630</v>
      </c>
      <c r="G28" s="20">
        <v>12749</v>
      </c>
      <c r="H28" s="19">
        <v>107596</v>
      </c>
      <c r="I28" s="20">
        <v>1175</v>
      </c>
      <c r="J28" s="21">
        <v>108771</v>
      </c>
    </row>
    <row r="29" spans="1:10" x14ac:dyDescent="0.25">
      <c r="A29" s="11" t="s">
        <v>21</v>
      </c>
      <c r="B29" s="20">
        <v>64374</v>
      </c>
      <c r="C29" s="20">
        <v>27502</v>
      </c>
      <c r="D29" s="20">
        <v>16757</v>
      </c>
      <c r="E29" s="20">
        <v>5077</v>
      </c>
      <c r="F29" s="20">
        <v>20402</v>
      </c>
      <c r="G29" s="20">
        <v>10502</v>
      </c>
      <c r="H29" s="19">
        <v>144614</v>
      </c>
      <c r="I29" s="20">
        <v>1773</v>
      </c>
      <c r="J29" s="21">
        <v>146387</v>
      </c>
    </row>
    <row r="30" spans="1:10" x14ac:dyDescent="0.25">
      <c r="A30" s="11" t="s">
        <v>22</v>
      </c>
      <c r="B30" s="20">
        <v>100592</v>
      </c>
      <c r="C30" s="20">
        <v>59346</v>
      </c>
      <c r="D30" s="20">
        <v>9134</v>
      </c>
      <c r="E30" s="20">
        <v>6275</v>
      </c>
      <c r="F30" s="20">
        <v>14030</v>
      </c>
      <c r="G30" s="20">
        <v>13252</v>
      </c>
      <c r="H30" s="19">
        <v>202629</v>
      </c>
      <c r="I30" s="20">
        <v>2249</v>
      </c>
      <c r="J30" s="21">
        <v>204878</v>
      </c>
    </row>
    <row r="31" spans="1:10" x14ac:dyDescent="0.25">
      <c r="A31" s="11" t="s">
        <v>23</v>
      </c>
      <c r="B31" s="20">
        <v>41803</v>
      </c>
      <c r="C31" s="20">
        <v>21169</v>
      </c>
      <c r="D31" s="20">
        <v>4731</v>
      </c>
      <c r="E31" s="20">
        <v>15486</v>
      </c>
      <c r="F31" s="20">
        <v>12774</v>
      </c>
      <c r="G31" s="20">
        <v>4566</v>
      </c>
      <c r="H31" s="19">
        <v>100529</v>
      </c>
      <c r="I31" s="20">
        <v>504</v>
      </c>
      <c r="J31" s="21">
        <v>101033</v>
      </c>
    </row>
    <row r="32" spans="1:10" x14ac:dyDescent="0.25">
      <c r="A32" s="11" t="s">
        <v>24</v>
      </c>
      <c r="B32" s="20">
        <v>18803</v>
      </c>
      <c r="C32" s="20">
        <v>7271</v>
      </c>
      <c r="D32" s="20">
        <v>1453</v>
      </c>
      <c r="E32" s="20">
        <v>3423</v>
      </c>
      <c r="F32" s="20">
        <v>383</v>
      </c>
      <c r="G32" s="20">
        <v>1319</v>
      </c>
      <c r="H32" s="19">
        <v>32652</v>
      </c>
      <c r="I32" s="20">
        <v>4</v>
      </c>
      <c r="J32" s="21">
        <v>32656</v>
      </c>
    </row>
    <row r="33" spans="1:10" x14ac:dyDescent="0.25">
      <c r="A33" s="11" t="s">
        <v>25</v>
      </c>
      <c r="B33" s="20">
        <v>15376</v>
      </c>
      <c r="C33" s="20">
        <v>6475</v>
      </c>
      <c r="D33" s="20">
        <v>1035</v>
      </c>
      <c r="E33" s="20">
        <v>1707</v>
      </c>
      <c r="F33" s="20">
        <v>1023</v>
      </c>
      <c r="G33" s="20">
        <v>1678</v>
      </c>
      <c r="H33" s="19">
        <v>27294</v>
      </c>
      <c r="I33" s="20">
        <v>0</v>
      </c>
      <c r="J33" s="21">
        <v>27294</v>
      </c>
    </row>
    <row r="34" spans="1:10" x14ac:dyDescent="0.25">
      <c r="A34" s="11" t="s">
        <v>53</v>
      </c>
      <c r="B34" s="20">
        <v>0</v>
      </c>
      <c r="C34" s="20">
        <v>0</v>
      </c>
      <c r="D34" s="20">
        <v>0</v>
      </c>
      <c r="E34" s="20">
        <v>0</v>
      </c>
      <c r="F34" s="20">
        <v>1</v>
      </c>
      <c r="G34" s="20">
        <v>0</v>
      </c>
      <c r="H34" s="19">
        <v>1</v>
      </c>
      <c r="I34" s="20">
        <v>1</v>
      </c>
      <c r="J34" s="21">
        <v>2</v>
      </c>
    </row>
    <row r="35" spans="1:10" ht="15.75" thickBot="1" x14ac:dyDescent="0.3">
      <c r="A35" s="11"/>
      <c r="B35" s="5"/>
      <c r="C35" s="6"/>
      <c r="D35" s="6"/>
      <c r="E35" s="6"/>
      <c r="F35" s="6"/>
      <c r="G35" s="15"/>
      <c r="H35" s="19" t="s">
        <v>29</v>
      </c>
      <c r="I35" s="5"/>
      <c r="J35" s="21" t="s">
        <v>29</v>
      </c>
    </row>
    <row r="36" spans="1:10" ht="24.95" customHeight="1" thickBot="1" x14ac:dyDescent="0.3">
      <c r="A36" s="13" t="s">
        <v>26</v>
      </c>
      <c r="B36" s="16">
        <f>SUM(B25:B34)</f>
        <v>313674</v>
      </c>
      <c r="C36" s="16">
        <f t="shared" ref="C36:J36" si="1">SUM(C25:C34)</f>
        <v>165991</v>
      </c>
      <c r="D36" s="16">
        <f t="shared" si="1"/>
        <v>50483</v>
      </c>
      <c r="E36" s="16">
        <f t="shared" si="1"/>
        <v>35634</v>
      </c>
      <c r="F36" s="16">
        <f t="shared" si="1"/>
        <v>90791</v>
      </c>
      <c r="G36" s="16">
        <f t="shared" si="1"/>
        <v>57125</v>
      </c>
      <c r="H36" s="16">
        <f t="shared" si="1"/>
        <v>713698</v>
      </c>
      <c r="I36" s="16">
        <f t="shared" si="1"/>
        <v>6638</v>
      </c>
      <c r="J36" s="16">
        <f t="shared" si="1"/>
        <v>720336</v>
      </c>
    </row>
    <row r="37" spans="1:10" ht="30" customHeight="1" thickTop="1" thickBot="1" x14ac:dyDescent="0.3">
      <c r="A37" s="7" t="s">
        <v>27</v>
      </c>
      <c r="B37" s="17">
        <f>SUM(B24,B36)</f>
        <v>358078</v>
      </c>
      <c r="C37" s="17">
        <f t="shared" ref="C37:J37" si="2">SUM(C24,C36)</f>
        <v>201166</v>
      </c>
      <c r="D37" s="17">
        <f t="shared" si="2"/>
        <v>64715</v>
      </c>
      <c r="E37" s="17">
        <f t="shared" si="2"/>
        <v>39544</v>
      </c>
      <c r="F37" s="17">
        <f t="shared" si="2"/>
        <v>105389</v>
      </c>
      <c r="G37" s="17">
        <f t="shared" si="2"/>
        <v>71428</v>
      </c>
      <c r="H37" s="17">
        <f t="shared" si="2"/>
        <v>840320</v>
      </c>
      <c r="I37" s="17">
        <f t="shared" si="2"/>
        <v>7982</v>
      </c>
      <c r="J37" s="17">
        <f t="shared" si="2"/>
        <v>848302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10-2011</vt:lpstr>
      <vt:lpstr>11-2011</vt:lpstr>
      <vt:lpstr>12-2011</vt:lpstr>
      <vt:lpstr>01-2012</vt:lpstr>
      <vt:lpstr>02-2012</vt:lpstr>
      <vt:lpstr>03-2012</vt:lpstr>
      <vt:lpstr>04-2012</vt:lpstr>
      <vt:lpstr>05-2012</vt:lpstr>
      <vt:lpstr>06-2012</vt:lpstr>
      <vt:lpstr>07-2012</vt:lpstr>
      <vt:lpstr>08-2012</vt:lpstr>
      <vt:lpstr>09-2012</vt:lpstr>
      <vt:lpstr>'10-2011'!Print_Area</vt:lpstr>
    </vt:vector>
  </TitlesOfParts>
  <Company>Defense Manpower Data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2014-10-03T18:03:32Z</cp:lastPrinted>
  <dcterms:created xsi:type="dcterms:W3CDTF">2012-07-23T22:14:11Z</dcterms:created>
  <dcterms:modified xsi:type="dcterms:W3CDTF">2017-01-25T19:07:36Z</dcterms:modified>
</cp:coreProperties>
</file>