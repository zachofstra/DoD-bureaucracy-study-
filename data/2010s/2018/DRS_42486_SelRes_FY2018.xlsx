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ersonal Folders\Seggerman_Scott\DRS 42486\"/>
    </mc:Choice>
  </mc:AlternateContent>
  <bookViews>
    <workbookView xWindow="0" yWindow="140" windowWidth="19200" windowHeight="7050" firstSheet="8" activeTab="11"/>
  </bookViews>
  <sheets>
    <sheet name="DRS 42486 - 201710" sheetId="13" r:id="rId1"/>
    <sheet name="DRS 42486 - 201711" sheetId="25" r:id="rId2"/>
    <sheet name="DRS 42486 - 201712" sheetId="18" r:id="rId3"/>
    <sheet name="DRS 42486 - 201801" sheetId="17" r:id="rId4"/>
    <sheet name="DRS 42486 - 201802" sheetId="19" r:id="rId5"/>
    <sheet name="DRS 42486 - 201803" sheetId="20" r:id="rId6"/>
    <sheet name="DRS 42486 - 201804" sheetId="21" r:id="rId7"/>
    <sheet name="DRS 42486 - 201805" sheetId="22" r:id="rId8"/>
    <sheet name="DRS 42486 - 201806" sheetId="16" r:id="rId9"/>
    <sheet name="DRS 42486 - 201807" sheetId="23" r:id="rId10"/>
    <sheet name="DRS 42486 - 201808" sheetId="24" r:id="rId11"/>
    <sheet name="DRS 42486 - 201809" sheetId="15" r:id="rId12"/>
  </sheets>
  <definedNames>
    <definedName name="_xlnm.Print_Area" localSheetId="0">'DRS 42486 - 201710'!$A$1:$J$38</definedName>
    <definedName name="_xlnm.Print_Area" localSheetId="1">'DRS 42486 - 201711'!$A$1:$J$38</definedName>
    <definedName name="_xlnm.Print_Area" localSheetId="2">'DRS 42486 - 201712'!$A$1:$J$38</definedName>
    <definedName name="_xlnm.Print_Area" localSheetId="3">'DRS 42486 - 201801'!$A$1:$J$38</definedName>
    <definedName name="_xlnm.Print_Area" localSheetId="4">'DRS 42486 - 201802'!$A$1:$J$38</definedName>
    <definedName name="_xlnm.Print_Area" localSheetId="5">'DRS 42486 - 201803'!$A$1:$J$38</definedName>
    <definedName name="_xlnm.Print_Area" localSheetId="6">'DRS 42486 - 201804'!$A$1:$J$38</definedName>
    <definedName name="_xlnm.Print_Area" localSheetId="7">'DRS 42486 - 201805'!$A$1:$J$38</definedName>
    <definedName name="_xlnm.Print_Area" localSheetId="8">'DRS 42486 - 201806'!$A$1:$J$38</definedName>
    <definedName name="_xlnm.Print_Area" localSheetId="9">'DRS 42486 - 201807'!$A$1:$J$38</definedName>
    <definedName name="_xlnm.Print_Area" localSheetId="10">'DRS 42486 - 201808'!$A$1:$J$38</definedName>
    <definedName name="_xlnm.Print_Area" localSheetId="11">'DRS 42486 - 201809'!$A$1:$J$38</definedName>
  </definedNames>
  <calcPr calcId="162913"/>
</workbook>
</file>

<file path=xl/calcChain.xml><?xml version="1.0" encoding="utf-8"?>
<calcChain xmlns="http://schemas.openxmlformats.org/spreadsheetml/2006/main">
  <c r="B24" i="25" l="1"/>
  <c r="C24" i="25"/>
  <c r="D24" i="25"/>
  <c r="E24" i="25"/>
  <c r="F24" i="25"/>
  <c r="G24" i="25"/>
  <c r="H24" i="25"/>
  <c r="H37" i="25" s="1"/>
  <c r="I24" i="25"/>
  <c r="I37" i="25" s="1"/>
  <c r="J24" i="25"/>
  <c r="B36" i="25"/>
  <c r="C36" i="25"/>
  <c r="D36" i="25"/>
  <c r="E36" i="25"/>
  <c r="F36" i="25"/>
  <c r="G36" i="25"/>
  <c r="H36" i="25"/>
  <c r="I36" i="25"/>
  <c r="J36" i="25"/>
  <c r="B37" i="25"/>
  <c r="C37" i="25"/>
  <c r="D37" i="25"/>
  <c r="E37" i="25"/>
  <c r="F37" i="25"/>
  <c r="G37" i="25"/>
  <c r="J37" i="25"/>
  <c r="B24" i="24" l="1"/>
  <c r="C24" i="24"/>
  <c r="D24" i="24"/>
  <c r="E24" i="24"/>
  <c r="F24" i="24"/>
  <c r="G24" i="24"/>
  <c r="H24" i="24"/>
  <c r="H37" i="24" s="1"/>
  <c r="I24" i="24"/>
  <c r="I37" i="24" s="1"/>
  <c r="J24" i="24"/>
  <c r="B36" i="24"/>
  <c r="C36" i="24"/>
  <c r="D36" i="24"/>
  <c r="E36" i="24"/>
  <c r="F36" i="24"/>
  <c r="G36" i="24"/>
  <c r="H36" i="24"/>
  <c r="I36" i="24"/>
  <c r="J36" i="24"/>
  <c r="B37" i="24"/>
  <c r="C37" i="24"/>
  <c r="D37" i="24"/>
  <c r="E37" i="24"/>
  <c r="F37" i="24"/>
  <c r="G37" i="24"/>
  <c r="J37" i="24"/>
  <c r="B24" i="23" l="1"/>
  <c r="C24" i="23"/>
  <c r="D24" i="23"/>
  <c r="E24" i="23"/>
  <c r="F24" i="23"/>
  <c r="G24" i="23"/>
  <c r="H24" i="23"/>
  <c r="H37" i="23" s="1"/>
  <c r="I24" i="23"/>
  <c r="I37" i="23" s="1"/>
  <c r="J24" i="23"/>
  <c r="B36" i="23"/>
  <c r="C36" i="23"/>
  <c r="D36" i="23"/>
  <c r="E36" i="23"/>
  <c r="F36" i="23"/>
  <c r="G36" i="23"/>
  <c r="H36" i="23"/>
  <c r="I36" i="23"/>
  <c r="J36" i="23"/>
  <c r="B37" i="23"/>
  <c r="C37" i="23"/>
  <c r="D37" i="23"/>
  <c r="E37" i="23"/>
  <c r="F37" i="23"/>
  <c r="G37" i="23"/>
  <c r="J37" i="23"/>
  <c r="B24" i="22" l="1"/>
  <c r="C24" i="22"/>
  <c r="D24" i="22"/>
  <c r="E24" i="22"/>
  <c r="F24" i="22"/>
  <c r="G24" i="22"/>
  <c r="H24" i="22"/>
  <c r="H37" i="22" s="1"/>
  <c r="I24" i="22"/>
  <c r="I37" i="22" s="1"/>
  <c r="J24" i="22"/>
  <c r="B36" i="22"/>
  <c r="C36" i="22"/>
  <c r="D36" i="22"/>
  <c r="E36" i="22"/>
  <c r="F36" i="22"/>
  <c r="G36" i="22"/>
  <c r="H36" i="22"/>
  <c r="I36" i="22"/>
  <c r="J36" i="22"/>
  <c r="B37" i="22"/>
  <c r="C37" i="22"/>
  <c r="D37" i="22"/>
  <c r="E37" i="22"/>
  <c r="F37" i="22"/>
  <c r="G37" i="22"/>
  <c r="J37" i="22"/>
  <c r="B24" i="21" l="1"/>
  <c r="C24" i="21"/>
  <c r="D24" i="21"/>
  <c r="E24" i="21"/>
  <c r="F24" i="21"/>
  <c r="G24" i="21"/>
  <c r="H24" i="21"/>
  <c r="H37" i="21" s="1"/>
  <c r="I24" i="21"/>
  <c r="I37" i="21" s="1"/>
  <c r="J24" i="21"/>
  <c r="B36" i="21"/>
  <c r="C36" i="21"/>
  <c r="D36" i="21"/>
  <c r="E36" i="21"/>
  <c r="F36" i="21"/>
  <c r="G36" i="21"/>
  <c r="H36" i="21"/>
  <c r="I36" i="21"/>
  <c r="J36" i="21"/>
  <c r="B37" i="21"/>
  <c r="C37" i="21"/>
  <c r="D37" i="21"/>
  <c r="E37" i="21"/>
  <c r="F37" i="21"/>
  <c r="G37" i="21"/>
  <c r="J37" i="21"/>
  <c r="B24" i="20" l="1"/>
  <c r="C24" i="20"/>
  <c r="D24" i="20"/>
  <c r="E24" i="20"/>
  <c r="F24" i="20"/>
  <c r="G24" i="20"/>
  <c r="H24" i="20"/>
  <c r="H37" i="20" s="1"/>
  <c r="I24" i="20"/>
  <c r="I37" i="20" s="1"/>
  <c r="J24" i="20"/>
  <c r="B36" i="20"/>
  <c r="C36" i="20"/>
  <c r="D36" i="20"/>
  <c r="D37" i="20" s="1"/>
  <c r="E36" i="20"/>
  <c r="F36" i="20"/>
  <c r="G36" i="20"/>
  <c r="H36" i="20"/>
  <c r="I36" i="20"/>
  <c r="J36" i="20"/>
  <c r="B37" i="20"/>
  <c r="C37" i="20"/>
  <c r="E37" i="20"/>
  <c r="F37" i="20"/>
  <c r="G37" i="20"/>
  <c r="J37" i="20"/>
  <c r="B24" i="19" l="1"/>
  <c r="C24" i="19"/>
  <c r="D24" i="19"/>
  <c r="E24" i="19"/>
  <c r="F24" i="19"/>
  <c r="G24" i="19"/>
  <c r="H24" i="19"/>
  <c r="H37" i="19" s="1"/>
  <c r="I24" i="19"/>
  <c r="I37" i="19" s="1"/>
  <c r="J24" i="19"/>
  <c r="B36" i="19"/>
  <c r="C36" i="19"/>
  <c r="D36" i="19"/>
  <c r="D37" i="19" s="1"/>
  <c r="E36" i="19"/>
  <c r="F36" i="19"/>
  <c r="G36" i="19"/>
  <c r="H36" i="19"/>
  <c r="I36" i="19"/>
  <c r="J36" i="19"/>
  <c r="B37" i="19"/>
  <c r="C37" i="19"/>
  <c r="E37" i="19"/>
  <c r="F37" i="19"/>
  <c r="G37" i="19"/>
  <c r="J37" i="19"/>
  <c r="B24" i="18" l="1"/>
  <c r="C24" i="18"/>
  <c r="D24" i="18"/>
  <c r="E24" i="18"/>
  <c r="F24" i="18"/>
  <c r="G24" i="18"/>
  <c r="H24" i="18"/>
  <c r="H37" i="18" s="1"/>
  <c r="I24" i="18"/>
  <c r="I37" i="18" s="1"/>
  <c r="J24" i="18"/>
  <c r="B36" i="18"/>
  <c r="C36" i="18"/>
  <c r="D36" i="18"/>
  <c r="E36" i="18"/>
  <c r="F36" i="18"/>
  <c r="G36" i="18"/>
  <c r="H36" i="18"/>
  <c r="I36" i="18"/>
  <c r="J36" i="18"/>
  <c r="B37" i="18"/>
  <c r="C37" i="18"/>
  <c r="D37" i="18"/>
  <c r="E37" i="18"/>
  <c r="F37" i="18"/>
  <c r="G37" i="18"/>
  <c r="J37" i="18"/>
  <c r="B24" i="17" l="1"/>
  <c r="C24" i="17"/>
  <c r="D24" i="17"/>
  <c r="D37" i="17" s="1"/>
  <c r="E24" i="17"/>
  <c r="F24" i="17"/>
  <c r="G24" i="17"/>
  <c r="H24" i="17"/>
  <c r="H37" i="17" s="1"/>
  <c r="I24" i="17"/>
  <c r="I37" i="17" s="1"/>
  <c r="J24" i="17"/>
  <c r="B36" i="17"/>
  <c r="C36" i="17"/>
  <c r="C37" i="17" s="1"/>
  <c r="D36" i="17"/>
  <c r="E36" i="17"/>
  <c r="E37" i="17" s="1"/>
  <c r="F36" i="17"/>
  <c r="G36" i="17"/>
  <c r="H36" i="17"/>
  <c r="I36" i="17"/>
  <c r="J36" i="17"/>
  <c r="B37" i="17"/>
  <c r="F37" i="17"/>
  <c r="G37" i="17"/>
  <c r="J37" i="17"/>
  <c r="B24" i="16" l="1"/>
  <c r="C24" i="16"/>
  <c r="D24" i="16"/>
  <c r="E24" i="16"/>
  <c r="F24" i="16"/>
  <c r="G24" i="16"/>
  <c r="H24" i="16"/>
  <c r="H37" i="16" s="1"/>
  <c r="I24" i="16"/>
  <c r="I37" i="16" s="1"/>
  <c r="J24" i="16"/>
  <c r="B36" i="16"/>
  <c r="C36" i="16"/>
  <c r="D36" i="16"/>
  <c r="D37" i="16" s="1"/>
  <c r="E36" i="16"/>
  <c r="F36" i="16"/>
  <c r="G36" i="16"/>
  <c r="H36" i="16"/>
  <c r="I36" i="16"/>
  <c r="J36" i="16"/>
  <c r="B37" i="16"/>
  <c r="C37" i="16"/>
  <c r="E37" i="16"/>
  <c r="F37" i="16"/>
  <c r="G37" i="16"/>
  <c r="J37" i="16"/>
  <c r="B24" i="15" l="1"/>
  <c r="C24" i="15"/>
  <c r="D24" i="15"/>
  <c r="E24" i="15"/>
  <c r="F24" i="15"/>
  <c r="G24" i="15"/>
  <c r="H24" i="15"/>
  <c r="H37" i="15" s="1"/>
  <c r="I24" i="15"/>
  <c r="J24" i="15"/>
  <c r="B36" i="15"/>
  <c r="C36" i="15"/>
  <c r="D36" i="15"/>
  <c r="E36" i="15"/>
  <c r="F36" i="15"/>
  <c r="G36" i="15"/>
  <c r="G37" i="15" s="1"/>
  <c r="H36" i="15"/>
  <c r="I36" i="15"/>
  <c r="J36" i="15"/>
  <c r="B37" i="15"/>
  <c r="C37" i="15"/>
  <c r="D37" i="15"/>
  <c r="E37" i="15"/>
  <c r="F37" i="15"/>
  <c r="I37" i="15"/>
  <c r="J37" i="15"/>
  <c r="B24" i="13" l="1"/>
  <c r="C24" i="13"/>
  <c r="D24" i="13"/>
  <c r="E24" i="13"/>
  <c r="F24" i="13"/>
  <c r="G24" i="13"/>
  <c r="H24" i="13"/>
  <c r="H37" i="13" s="1"/>
  <c r="I24" i="13"/>
  <c r="I37" i="13" s="1"/>
  <c r="J24" i="13"/>
  <c r="B36" i="13"/>
  <c r="C36" i="13"/>
  <c r="D36" i="13"/>
  <c r="E36" i="13"/>
  <c r="F36" i="13"/>
  <c r="G36" i="13"/>
  <c r="H36" i="13"/>
  <c r="I36" i="13"/>
  <c r="J36" i="13"/>
  <c r="B37" i="13"/>
  <c r="C37" i="13"/>
  <c r="D37" i="13"/>
  <c r="E37" i="13"/>
  <c r="F37" i="13"/>
  <c r="G37" i="13"/>
  <c r="J37" i="13"/>
</calcChain>
</file>

<file path=xl/sharedStrings.xml><?xml version="1.0" encoding="utf-8"?>
<sst xmlns="http://schemas.openxmlformats.org/spreadsheetml/2006/main" count="528" uniqueCount="54">
  <si>
    <t>Rank/Grade</t>
  </si>
  <si>
    <t>GENERAL       -ADMIRAL</t>
  </si>
  <si>
    <t>LT GENERAL    -VICE ADMIRAL</t>
  </si>
  <si>
    <t>MAJ GENERAL   -REAR ADMIRAL(U)</t>
  </si>
  <si>
    <t>BRIG GENERAL  -REAR ADMIRAL(L)</t>
  </si>
  <si>
    <t>COLONEL       -CAPTAIN</t>
  </si>
  <si>
    <t>LIEUTENANT COL-COMMANDER</t>
  </si>
  <si>
    <t>MAJOR         -LT COMMANDER</t>
  </si>
  <si>
    <t>CAPTAIN       -LIEUTENANT</t>
  </si>
  <si>
    <t>Ist LIEUTENANT-LIEUTENANT(JG)</t>
  </si>
  <si>
    <t>2nd LIEUTENANT-ENSIGN</t>
  </si>
  <si>
    <t>CHIEF WARRANT OFFICER W-5</t>
  </si>
  <si>
    <t>CHIEF WARRANT OFFICER W-4</t>
  </si>
  <si>
    <t>CHIEF WARRANT OFFICER W-3</t>
  </si>
  <si>
    <t>CHIEF WARRANT OFFICER W-2</t>
  </si>
  <si>
    <t>WARRANT OFFICER W-1</t>
  </si>
  <si>
    <t>TOTAL OFFICER</t>
  </si>
  <si>
    <t>E-9</t>
  </si>
  <si>
    <t>E-8</t>
  </si>
  <si>
    <t>E-7</t>
  </si>
  <si>
    <t>E-6</t>
  </si>
  <si>
    <t>E-5</t>
  </si>
  <si>
    <t>E-4</t>
  </si>
  <si>
    <t>E-3</t>
  </si>
  <si>
    <t>E-2</t>
  </si>
  <si>
    <t>E-1</t>
  </si>
  <si>
    <t>TOTAL ENLISTED</t>
  </si>
  <si>
    <t>GRAND TOTAL</t>
  </si>
  <si>
    <t>Department of Defense</t>
  </si>
  <si>
    <t>Selected Reserves by Rank/Grade</t>
  </si>
  <si>
    <t>Army National Guard</t>
  </si>
  <si>
    <t>Army Reserve</t>
  </si>
  <si>
    <t>Navy Reserve</t>
  </si>
  <si>
    <t>Marine Corps Reserve</t>
  </si>
  <si>
    <t>Air National Guard</t>
  </si>
  <si>
    <t>Air Force Reserve</t>
  </si>
  <si>
    <t>Total DoD</t>
  </si>
  <si>
    <t>TOTAL</t>
  </si>
  <si>
    <t xml:space="preserve"> </t>
  </si>
  <si>
    <t>Coast Guard Reserve</t>
  </si>
  <si>
    <t>ENLISTED UNKNOWN GRADE</t>
  </si>
  <si>
    <t>OFFICER UNKNOWN GRADE</t>
  </si>
  <si>
    <t xml:space="preserve"> October 31, 2017</t>
  </si>
  <si>
    <t xml:space="preserve"> September 30, 2018</t>
  </si>
  <si>
    <t xml:space="preserve"> June 30, 2018</t>
  </si>
  <si>
    <t xml:space="preserve"> January 31, 2018</t>
  </si>
  <si>
    <t xml:space="preserve"> December 31, 2017</t>
  </si>
  <si>
    <t xml:space="preserve"> February 28, 2018</t>
  </si>
  <si>
    <t xml:space="preserve"> March 31, 2018</t>
  </si>
  <si>
    <t xml:space="preserve"> April 30, 2018</t>
  </si>
  <si>
    <t xml:space="preserve"> May 31, 2018</t>
  </si>
  <si>
    <t xml:space="preserve"> July 31, 2018</t>
  </si>
  <si>
    <t xml:space="preserve"> August 31, 2018</t>
  </si>
  <si>
    <t xml:space="preserve"> November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</si>
</sst>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Courier New"/>
      <family val="3"/>
    </font>
    <font>
      <b/>
      <sz val="10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19" fillId="0" borderId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1" fillId="0" borderId="0"/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5" fillId="0" borderId="0"/>
  </cellStyleXfs>
  <cellXfs count="57">
    <xf numFmtId="0" fontId="0" fillId="0" borderId="0" xfId="0"/>
    <xf numFmtId="0" fontId="1" fillId="0" borderId="0" xfId="0" applyFont="1"/>
    <xf numFmtId="3" fontId="0" fillId="0" borderId="1" xfId="0" applyNumberFormat="1" applyBorder="1"/>
    <xf numFmtId="3" fontId="0" fillId="0" borderId="12" xfId="0" applyNumberFormat="1" applyBorder="1"/>
    <xf numFmtId="3" fontId="0" fillId="0" borderId="17" xfId="0" applyNumberFormat="1" applyBorder="1"/>
    <xf numFmtId="3" fontId="0" fillId="0" borderId="16" xfId="0" applyNumberFormat="1" applyBorder="1"/>
    <xf numFmtId="3" fontId="0" fillId="0" borderId="13" xfId="0" applyNumberFormat="1" applyBorder="1"/>
    <xf numFmtId="3" fontId="0" fillId="0" borderId="15" xfId="0" applyNumberFormat="1" applyBorder="1"/>
    <xf numFmtId="3" fontId="0" fillId="0" borderId="14" xfId="0" applyNumberFormat="1" applyBorder="1"/>
    <xf numFmtId="0" fontId="27" fillId="0" borderId="19" xfId="0" applyFont="1" applyBorder="1"/>
    <xf numFmtId="3" fontId="0" fillId="0" borderId="0" xfId="0" applyNumberFormat="1"/>
    <xf numFmtId="0" fontId="0" fillId="0" borderId="0" xfId="0" applyAlignment="1">
      <alignment wrapText="1"/>
    </xf>
    <xf numFmtId="0" fontId="30" fillId="0" borderId="25" xfId="0" applyFont="1" applyBorder="1" applyAlignment="1">
      <alignment horizontal="center" wrapText="1"/>
    </xf>
    <xf numFmtId="0" fontId="30" fillId="0" borderId="24" xfId="0" applyFont="1" applyFill="1" applyBorder="1" applyAlignment="1">
      <alignment horizontal="center" wrapText="1"/>
    </xf>
    <xf numFmtId="0" fontId="30" fillId="0" borderId="33" xfId="0" applyFont="1" applyBorder="1" applyAlignment="1">
      <alignment vertical="center" wrapText="1"/>
    </xf>
    <xf numFmtId="0" fontId="30" fillId="0" borderId="34" xfId="0" applyFont="1" applyBorder="1" applyAlignment="1">
      <alignment horizontal="center" wrapText="1"/>
    </xf>
    <xf numFmtId="0" fontId="26" fillId="0" borderId="33" xfId="0" applyFont="1" applyBorder="1"/>
    <xf numFmtId="3" fontId="0" fillId="0" borderId="35" xfId="0" applyNumberFormat="1" applyFill="1" applyBorder="1"/>
    <xf numFmtId="0" fontId="27" fillId="0" borderId="33" xfId="0" applyFont="1" applyBorder="1"/>
    <xf numFmtId="3" fontId="0" fillId="0" borderId="36" xfId="0" applyNumberFormat="1" applyBorder="1"/>
    <xf numFmtId="0" fontId="27" fillId="0" borderId="37" xfId="0" applyFont="1" applyBorder="1"/>
    <xf numFmtId="3" fontId="0" fillId="0" borderId="35" xfId="0" applyNumberFormat="1" applyBorder="1"/>
    <xf numFmtId="0" fontId="30" fillId="0" borderId="25" xfId="0" applyFont="1" applyFill="1" applyBorder="1" applyAlignment="1">
      <alignment horizontal="center" wrapText="1"/>
    </xf>
    <xf numFmtId="3" fontId="0" fillId="0" borderId="22" xfId="0" applyNumberFormat="1" applyBorder="1"/>
    <xf numFmtId="3" fontId="0" fillId="0" borderId="11" xfId="0" applyNumberFormat="1" applyBorder="1"/>
    <xf numFmtId="3" fontId="0" fillId="0" borderId="21" xfId="0" applyNumberFormat="1" applyBorder="1"/>
    <xf numFmtId="0" fontId="30" fillId="0" borderId="41" xfId="0" applyFont="1" applyFill="1" applyBorder="1" applyAlignment="1">
      <alignment horizontal="center" wrapText="1"/>
    </xf>
    <xf numFmtId="0" fontId="30" fillId="2" borderId="39" xfId="0" applyFont="1" applyFill="1" applyBorder="1" applyAlignment="1">
      <alignment horizontal="center" wrapText="1"/>
    </xf>
    <xf numFmtId="3" fontId="1" fillId="2" borderId="42" xfId="0" applyNumberFormat="1" applyFont="1" applyFill="1" applyBorder="1"/>
    <xf numFmtId="3" fontId="1" fillId="2" borderId="43" xfId="0" applyNumberFormat="1" applyFont="1" applyFill="1" applyBorder="1"/>
    <xf numFmtId="3" fontId="1" fillId="2" borderId="18" xfId="0" applyNumberFormat="1" applyFont="1" applyFill="1" applyBorder="1"/>
    <xf numFmtId="3" fontId="1" fillId="2" borderId="38" xfId="0" applyNumberFormat="1" applyFont="1" applyFill="1" applyBorder="1"/>
    <xf numFmtId="3" fontId="1" fillId="34" borderId="20" xfId="0" applyNumberFormat="1" applyFont="1" applyFill="1" applyBorder="1" applyAlignment="1">
      <alignment vertical="center"/>
    </xf>
    <xf numFmtId="3" fontId="1" fillId="34" borderId="40" xfId="0" applyNumberFormat="1" applyFont="1" applyFill="1" applyBorder="1" applyAlignment="1">
      <alignment vertical="center"/>
    </xf>
    <xf numFmtId="0" fontId="0" fillId="0" borderId="44" xfId="0" applyBorder="1" applyAlignment="1">
      <alignment horizontal="right" wrapText="1"/>
    </xf>
    <xf numFmtId="3" fontId="0" fillId="0" borderId="44" xfId="0" applyNumberFormat="1" applyBorder="1" applyAlignment="1">
      <alignment horizontal="right" wrapText="1"/>
    </xf>
    <xf numFmtId="3" fontId="1" fillId="34" borderId="45" xfId="0" applyNumberFormat="1" applyFont="1" applyFill="1" applyBorder="1" applyAlignment="1">
      <alignment vertical="center"/>
    </xf>
    <xf numFmtId="3" fontId="1" fillId="34" borderId="46" xfId="0" applyNumberFormat="1" applyFont="1" applyFill="1" applyBorder="1" applyAlignment="1">
      <alignment vertical="center"/>
    </xf>
    <xf numFmtId="3" fontId="1" fillId="2" borderId="47" xfId="0" applyNumberFormat="1" applyFont="1" applyFill="1" applyBorder="1"/>
    <xf numFmtId="3" fontId="1" fillId="2" borderId="23" xfId="0" applyNumberFormat="1" applyFont="1" applyFill="1" applyBorder="1"/>
    <xf numFmtId="3" fontId="0" fillId="0" borderId="48" xfId="0" applyNumberFormat="1" applyBorder="1"/>
    <xf numFmtId="3" fontId="0" fillId="0" borderId="49" xfId="0" applyNumberFormat="1" applyBorder="1"/>
    <xf numFmtId="0" fontId="28" fillId="0" borderId="26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28" fillId="0" borderId="28" xfId="0" applyFont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15" fontId="29" fillId="0" borderId="29" xfId="0" quotePrefix="1" applyNumberFormat="1" applyFont="1" applyBorder="1" applyAlignment="1">
      <alignment horizontal="center"/>
    </xf>
    <xf numFmtId="15" fontId="29" fillId="0" borderId="0" xfId="0" quotePrefix="1" applyNumberFormat="1" applyFont="1" applyBorder="1" applyAlignment="1">
      <alignment horizontal="center"/>
    </xf>
    <xf numFmtId="15" fontId="29" fillId="0" borderId="30" xfId="0" quotePrefix="1" applyNumberFormat="1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0" fillId="2" borderId="31" xfId="0" applyFont="1" applyFill="1" applyBorder="1" applyAlignment="1">
      <alignment horizontal="center"/>
    </xf>
    <xf numFmtId="0" fontId="0" fillId="2" borderId="23" xfId="0" applyFont="1" applyFill="1" applyBorder="1" applyAlignment="1">
      <alignment horizontal="center"/>
    </xf>
    <xf numFmtId="0" fontId="0" fillId="2" borderId="32" xfId="0" applyFont="1" applyFill="1" applyBorder="1" applyAlignment="1">
      <alignment horizontal="center"/>
    </xf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/>
    <cellStyle name="Comma 2 2" xfId="51"/>
    <cellStyle name="Comma 2 3" xfId="53"/>
    <cellStyle name="Comma 3" xfId="45"/>
    <cellStyle name="Comma 3 2" xfId="56"/>
    <cellStyle name="Comma 4" xfId="55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4" xfId="47"/>
    <cellStyle name="Normal 5" xfId="48"/>
    <cellStyle name="Normal 6" xfId="50"/>
    <cellStyle name="Normal 7" xfId="52"/>
    <cellStyle name="Normal 8" xfId="54"/>
    <cellStyle name="Normal 9" xfId="57"/>
    <cellStyle name="Note" xfId="15" builtinId="10" customBuiltin="1"/>
    <cellStyle name="Output" xfId="10" builtinId="21" customBuiltin="1"/>
    <cellStyle name="Percent 2" xfId="46"/>
    <cellStyle name="Percent 3" xfId="49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5" x14ac:dyDescent="0.45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5" x14ac:dyDescent="0.45">
      <c r="A3" s="48" t="s">
        <v>42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" thickBot="1" x14ac:dyDescent="0.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29.5" thickBot="1" x14ac:dyDescent="0.4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7" t="s">
        <v>36</v>
      </c>
      <c r="I6" s="26" t="s">
        <v>39</v>
      </c>
      <c r="J6" s="15" t="s">
        <v>37</v>
      </c>
    </row>
    <row r="7" spans="1:10" ht="15" thickTop="1" x14ac:dyDescent="0.35">
      <c r="A7" s="16" t="s">
        <v>1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28">
        <v>1</v>
      </c>
      <c r="I7" s="4">
        <v>0</v>
      </c>
      <c r="J7" s="17">
        <v>1</v>
      </c>
    </row>
    <row r="8" spans="1:10" x14ac:dyDescent="0.35">
      <c r="A8" s="16" t="s">
        <v>2</v>
      </c>
      <c r="B8" s="34">
        <v>3</v>
      </c>
      <c r="C8" s="34">
        <v>0</v>
      </c>
      <c r="D8" s="34">
        <v>0</v>
      </c>
      <c r="E8" s="34">
        <v>1</v>
      </c>
      <c r="F8" s="34">
        <v>2</v>
      </c>
      <c r="G8" s="34">
        <v>0</v>
      </c>
      <c r="H8" s="28">
        <v>6</v>
      </c>
      <c r="I8" s="3">
        <v>0</v>
      </c>
      <c r="J8" s="17">
        <v>6</v>
      </c>
    </row>
    <row r="9" spans="1:10" x14ac:dyDescent="0.35">
      <c r="A9" s="16" t="s">
        <v>3</v>
      </c>
      <c r="B9" s="34">
        <v>68</v>
      </c>
      <c r="C9" s="34">
        <v>33</v>
      </c>
      <c r="D9" s="34">
        <v>17</v>
      </c>
      <c r="E9" s="34">
        <v>5</v>
      </c>
      <c r="F9" s="34">
        <v>40</v>
      </c>
      <c r="G9" s="34">
        <v>25</v>
      </c>
      <c r="H9" s="28">
        <v>188</v>
      </c>
      <c r="I9" s="3">
        <v>2</v>
      </c>
      <c r="J9" s="17">
        <v>190</v>
      </c>
    </row>
    <row r="10" spans="1:10" x14ac:dyDescent="0.35">
      <c r="A10" s="16" t="s">
        <v>4</v>
      </c>
      <c r="B10" s="34">
        <v>169</v>
      </c>
      <c r="C10" s="34">
        <v>81</v>
      </c>
      <c r="D10" s="34">
        <v>35</v>
      </c>
      <c r="E10" s="34">
        <v>6</v>
      </c>
      <c r="F10" s="34">
        <v>126</v>
      </c>
      <c r="G10" s="34">
        <v>51</v>
      </c>
      <c r="H10" s="28">
        <v>468</v>
      </c>
      <c r="I10" s="3">
        <v>0</v>
      </c>
      <c r="J10" s="17">
        <v>468</v>
      </c>
    </row>
    <row r="11" spans="1:10" x14ac:dyDescent="0.35">
      <c r="A11" s="16" t="s">
        <v>5</v>
      </c>
      <c r="B11" s="35">
        <v>1354</v>
      </c>
      <c r="C11" s="35">
        <v>1875</v>
      </c>
      <c r="D11" s="35">
        <v>1257</v>
      </c>
      <c r="E11" s="34">
        <v>299</v>
      </c>
      <c r="F11" s="35">
        <v>1031</v>
      </c>
      <c r="G11" s="35">
        <v>1034</v>
      </c>
      <c r="H11" s="28">
        <v>6850</v>
      </c>
      <c r="I11" s="3">
        <v>38</v>
      </c>
      <c r="J11" s="17">
        <v>6888</v>
      </c>
    </row>
    <row r="12" spans="1:10" x14ac:dyDescent="0.35">
      <c r="A12" s="16" t="s">
        <v>6</v>
      </c>
      <c r="B12" s="35">
        <v>3554</v>
      </c>
      <c r="C12" s="35">
        <v>4929</v>
      </c>
      <c r="D12" s="35">
        <v>3245</v>
      </c>
      <c r="E12" s="34">
        <v>720</v>
      </c>
      <c r="F12" s="35">
        <v>4012</v>
      </c>
      <c r="G12" s="35">
        <v>3912</v>
      </c>
      <c r="H12" s="28">
        <v>20372</v>
      </c>
      <c r="I12" s="3">
        <v>140</v>
      </c>
      <c r="J12" s="17">
        <v>20512</v>
      </c>
    </row>
    <row r="13" spans="1:10" x14ac:dyDescent="0.35">
      <c r="A13" s="16" t="s">
        <v>7</v>
      </c>
      <c r="B13" s="35">
        <v>6578</v>
      </c>
      <c r="C13" s="35">
        <v>8089</v>
      </c>
      <c r="D13" s="35">
        <v>4855</v>
      </c>
      <c r="E13" s="35">
        <v>1373</v>
      </c>
      <c r="F13" s="35">
        <v>4356</v>
      </c>
      <c r="G13" s="35">
        <v>5010</v>
      </c>
      <c r="H13" s="28">
        <v>30261</v>
      </c>
      <c r="I13" s="3">
        <v>312</v>
      </c>
      <c r="J13" s="17">
        <v>30573</v>
      </c>
    </row>
    <row r="14" spans="1:10" x14ac:dyDescent="0.35">
      <c r="A14" s="16" t="s">
        <v>8</v>
      </c>
      <c r="B14" s="35">
        <v>10529</v>
      </c>
      <c r="C14" s="35">
        <v>10814</v>
      </c>
      <c r="D14" s="35">
        <v>3724</v>
      </c>
      <c r="E14" s="35">
        <v>1221</v>
      </c>
      <c r="F14" s="35">
        <v>3429</v>
      </c>
      <c r="G14" s="35">
        <v>2682</v>
      </c>
      <c r="H14" s="28">
        <v>32399</v>
      </c>
      <c r="I14" s="3">
        <v>335</v>
      </c>
      <c r="J14" s="17">
        <v>32734</v>
      </c>
    </row>
    <row r="15" spans="1:10" x14ac:dyDescent="0.35">
      <c r="A15" s="16" t="s">
        <v>9</v>
      </c>
      <c r="B15" s="35">
        <v>8522</v>
      </c>
      <c r="C15" s="35">
        <v>5991</v>
      </c>
      <c r="D15" s="34">
        <v>627</v>
      </c>
      <c r="E15" s="34">
        <v>288</v>
      </c>
      <c r="F15" s="35">
        <v>1094</v>
      </c>
      <c r="G15" s="34">
        <v>601</v>
      </c>
      <c r="H15" s="28">
        <v>17123</v>
      </c>
      <c r="I15" s="3">
        <v>52</v>
      </c>
      <c r="J15" s="17">
        <v>17175</v>
      </c>
    </row>
    <row r="16" spans="1:10" x14ac:dyDescent="0.35">
      <c r="A16" s="16" t="s">
        <v>10</v>
      </c>
      <c r="B16" s="35">
        <v>6151</v>
      </c>
      <c r="C16" s="35">
        <v>2268</v>
      </c>
      <c r="D16" s="34">
        <v>462</v>
      </c>
      <c r="E16" s="34">
        <v>229</v>
      </c>
      <c r="F16" s="35">
        <v>1157</v>
      </c>
      <c r="G16" s="34">
        <v>316</v>
      </c>
      <c r="H16" s="28">
        <v>10583</v>
      </c>
      <c r="I16" s="3">
        <v>70</v>
      </c>
      <c r="J16" s="17">
        <v>10653</v>
      </c>
    </row>
    <row r="17" spans="1:10" x14ac:dyDescent="0.35">
      <c r="A17" s="16" t="s">
        <v>11</v>
      </c>
      <c r="B17" s="34">
        <v>387</v>
      </c>
      <c r="C17" s="34">
        <v>105</v>
      </c>
      <c r="D17" s="34">
        <v>1</v>
      </c>
      <c r="E17" s="34">
        <v>17</v>
      </c>
      <c r="F17" s="34">
        <v>0</v>
      </c>
      <c r="G17" s="34">
        <v>0</v>
      </c>
      <c r="H17" s="28">
        <v>510</v>
      </c>
      <c r="I17" s="3">
        <v>0</v>
      </c>
      <c r="J17" s="17">
        <v>510</v>
      </c>
    </row>
    <row r="18" spans="1:10" x14ac:dyDescent="0.35">
      <c r="A18" s="16" t="s">
        <v>12</v>
      </c>
      <c r="B18" s="35">
        <v>1344</v>
      </c>
      <c r="C18" s="34">
        <v>541</v>
      </c>
      <c r="D18" s="34">
        <v>19</v>
      </c>
      <c r="E18" s="34">
        <v>33</v>
      </c>
      <c r="F18" s="34">
        <v>0</v>
      </c>
      <c r="G18" s="34">
        <v>0</v>
      </c>
      <c r="H18" s="28">
        <v>1937</v>
      </c>
      <c r="I18" s="3">
        <v>32</v>
      </c>
      <c r="J18" s="17">
        <v>1969</v>
      </c>
    </row>
    <row r="19" spans="1:10" x14ac:dyDescent="0.35">
      <c r="A19" s="16" t="s">
        <v>13</v>
      </c>
      <c r="B19" s="35">
        <v>2287</v>
      </c>
      <c r="C19" s="34">
        <v>1167</v>
      </c>
      <c r="D19" s="34">
        <v>34</v>
      </c>
      <c r="E19" s="34">
        <v>94</v>
      </c>
      <c r="F19" s="34">
        <v>0</v>
      </c>
      <c r="G19" s="34">
        <v>0</v>
      </c>
      <c r="H19" s="28">
        <v>3582</v>
      </c>
      <c r="I19" s="3">
        <v>47</v>
      </c>
      <c r="J19" s="17">
        <v>3629</v>
      </c>
    </row>
    <row r="20" spans="1:10" x14ac:dyDescent="0.35">
      <c r="A20" s="16" t="s">
        <v>14</v>
      </c>
      <c r="B20" s="35">
        <v>3214</v>
      </c>
      <c r="C20" s="35">
        <v>1224</v>
      </c>
      <c r="D20" s="34">
        <v>31</v>
      </c>
      <c r="E20" s="34">
        <v>69</v>
      </c>
      <c r="F20" s="34">
        <v>0</v>
      </c>
      <c r="G20" s="34">
        <v>0</v>
      </c>
      <c r="H20" s="28">
        <v>4538</v>
      </c>
      <c r="I20" s="3">
        <v>30</v>
      </c>
      <c r="J20" s="17">
        <v>4568</v>
      </c>
    </row>
    <row r="21" spans="1:10" x14ac:dyDescent="0.35">
      <c r="A21" s="16" t="s">
        <v>15</v>
      </c>
      <c r="B21" s="35">
        <v>1401</v>
      </c>
      <c r="C21" s="34">
        <v>444</v>
      </c>
      <c r="D21" s="34">
        <v>0</v>
      </c>
      <c r="E21" s="34">
        <v>35</v>
      </c>
      <c r="F21" s="34">
        <v>0</v>
      </c>
      <c r="G21" s="34">
        <v>0</v>
      </c>
      <c r="H21" s="28">
        <v>1880</v>
      </c>
      <c r="I21" s="3">
        <v>0</v>
      </c>
      <c r="J21" s="17">
        <v>1880</v>
      </c>
    </row>
    <row r="22" spans="1:10" x14ac:dyDescent="0.35">
      <c r="A22" s="16" t="s">
        <v>41</v>
      </c>
      <c r="B22" s="34">
        <v>1</v>
      </c>
      <c r="C22" s="34">
        <v>0</v>
      </c>
      <c r="D22" s="34">
        <v>0</v>
      </c>
      <c r="E22" s="34">
        <v>0</v>
      </c>
      <c r="F22" s="34">
        <v>1</v>
      </c>
      <c r="G22" s="34">
        <v>0</v>
      </c>
      <c r="H22" s="28">
        <v>2</v>
      </c>
      <c r="I22" s="3">
        <v>0</v>
      </c>
      <c r="J22" s="17">
        <v>2</v>
      </c>
    </row>
    <row r="23" spans="1:10" ht="15" thickBot="1" x14ac:dyDescent="0.4">
      <c r="A23" s="18"/>
      <c r="B23" s="6"/>
      <c r="C23" s="7"/>
      <c r="D23" s="7"/>
      <c r="E23" s="7"/>
      <c r="F23" s="7"/>
      <c r="G23" s="25"/>
      <c r="H23" s="29"/>
      <c r="I23" s="6" t="s">
        <v>38</v>
      </c>
      <c r="J23" s="19"/>
    </row>
    <row r="24" spans="1:10" ht="15" thickBot="1" x14ac:dyDescent="0.4">
      <c r="A24" s="20" t="s">
        <v>16</v>
      </c>
      <c r="B24" s="30">
        <f t="shared" ref="B24:J24" si="0">SUM(B7:B22)</f>
        <v>45562</v>
      </c>
      <c r="C24" s="30">
        <f t="shared" si="0"/>
        <v>37561</v>
      </c>
      <c r="D24" s="30">
        <f t="shared" si="0"/>
        <v>14307</v>
      </c>
      <c r="E24" s="30">
        <f t="shared" si="0"/>
        <v>4390</v>
      </c>
      <c r="F24" s="30">
        <f t="shared" si="0"/>
        <v>15249</v>
      </c>
      <c r="G24" s="39">
        <f t="shared" si="0"/>
        <v>13631</v>
      </c>
      <c r="H24" s="38">
        <f t="shared" si="0"/>
        <v>130700</v>
      </c>
      <c r="I24" s="30">
        <f t="shared" si="0"/>
        <v>1058</v>
      </c>
      <c r="J24" s="31">
        <f t="shared" si="0"/>
        <v>131758</v>
      </c>
    </row>
    <row r="25" spans="1:10" x14ac:dyDescent="0.35">
      <c r="A25" s="16" t="s">
        <v>17</v>
      </c>
      <c r="B25" s="4">
        <v>2051</v>
      </c>
      <c r="C25" s="5">
        <v>1513</v>
      </c>
      <c r="D25" s="5">
        <v>352</v>
      </c>
      <c r="E25" s="5">
        <v>172</v>
      </c>
      <c r="F25" s="5">
        <v>1995</v>
      </c>
      <c r="G25" s="23">
        <v>965</v>
      </c>
      <c r="H25" s="28">
        <v>7048</v>
      </c>
      <c r="I25" s="4">
        <v>66</v>
      </c>
      <c r="J25" s="21">
        <v>7114</v>
      </c>
    </row>
    <row r="26" spans="1:10" x14ac:dyDescent="0.35">
      <c r="A26" s="16" t="s">
        <v>18</v>
      </c>
      <c r="B26" s="3">
        <v>7243</v>
      </c>
      <c r="C26" s="2">
        <v>5532</v>
      </c>
      <c r="D26" s="2">
        <v>969</v>
      </c>
      <c r="E26" s="2">
        <v>490</v>
      </c>
      <c r="F26" s="2">
        <v>4433</v>
      </c>
      <c r="G26" s="24">
        <v>2899</v>
      </c>
      <c r="H26" s="28">
        <v>21566</v>
      </c>
      <c r="I26" s="3">
        <v>123</v>
      </c>
      <c r="J26" s="21">
        <v>21689</v>
      </c>
    </row>
    <row r="27" spans="1:10" x14ac:dyDescent="0.35">
      <c r="A27" s="16" t="s">
        <v>19</v>
      </c>
      <c r="B27" s="3">
        <v>18806</v>
      </c>
      <c r="C27" s="2">
        <v>14124</v>
      </c>
      <c r="D27" s="2">
        <v>3811</v>
      </c>
      <c r="E27" s="2">
        <v>1091</v>
      </c>
      <c r="F27" s="2">
        <v>15267</v>
      </c>
      <c r="G27" s="24">
        <v>8270</v>
      </c>
      <c r="H27" s="28">
        <v>61369</v>
      </c>
      <c r="I27" s="3">
        <v>651</v>
      </c>
      <c r="J27" s="21">
        <v>62020</v>
      </c>
    </row>
    <row r="28" spans="1:10" x14ac:dyDescent="0.35">
      <c r="A28" s="16" t="s">
        <v>20</v>
      </c>
      <c r="B28" s="3">
        <v>35782</v>
      </c>
      <c r="C28" s="2">
        <v>19231</v>
      </c>
      <c r="D28" s="2">
        <v>10518</v>
      </c>
      <c r="E28" s="2">
        <v>1970</v>
      </c>
      <c r="F28" s="2">
        <v>18999</v>
      </c>
      <c r="G28" s="24">
        <v>12320</v>
      </c>
      <c r="H28" s="28">
        <v>98820</v>
      </c>
      <c r="I28" s="3">
        <v>1470</v>
      </c>
      <c r="J28" s="21">
        <v>100290</v>
      </c>
    </row>
    <row r="29" spans="1:10" x14ac:dyDescent="0.35">
      <c r="A29" s="16" t="s">
        <v>21</v>
      </c>
      <c r="B29" s="3">
        <v>61163</v>
      </c>
      <c r="C29" s="2">
        <v>32960</v>
      </c>
      <c r="D29" s="2">
        <v>13861</v>
      </c>
      <c r="E29" s="2">
        <v>4839</v>
      </c>
      <c r="F29" s="2">
        <v>20678</v>
      </c>
      <c r="G29" s="24">
        <v>12417</v>
      </c>
      <c r="H29" s="28">
        <v>145918</v>
      </c>
      <c r="I29" s="3">
        <v>1680</v>
      </c>
      <c r="J29" s="21">
        <v>147598</v>
      </c>
    </row>
    <row r="30" spans="1:10" x14ac:dyDescent="0.35">
      <c r="A30" s="16" t="s">
        <v>22</v>
      </c>
      <c r="B30" s="3">
        <v>103257</v>
      </c>
      <c r="C30" s="2">
        <v>52964</v>
      </c>
      <c r="D30" s="2">
        <v>7810</v>
      </c>
      <c r="E30" s="2">
        <v>6386</v>
      </c>
      <c r="F30" s="2">
        <v>15438</v>
      </c>
      <c r="G30" s="24">
        <v>12419</v>
      </c>
      <c r="H30" s="28">
        <v>198274</v>
      </c>
      <c r="I30" s="3">
        <v>1057</v>
      </c>
      <c r="J30" s="21">
        <v>199331</v>
      </c>
    </row>
    <row r="31" spans="1:10" x14ac:dyDescent="0.35">
      <c r="A31" s="16" t="s">
        <v>23</v>
      </c>
      <c r="B31" s="3">
        <v>34674</v>
      </c>
      <c r="C31" s="2">
        <v>15540</v>
      </c>
      <c r="D31" s="2">
        <v>3865</v>
      </c>
      <c r="E31" s="2">
        <v>14632</v>
      </c>
      <c r="F31" s="2">
        <v>12171</v>
      </c>
      <c r="G31" s="24">
        <v>3678</v>
      </c>
      <c r="H31" s="28">
        <v>84560</v>
      </c>
      <c r="I31" s="3">
        <v>111</v>
      </c>
      <c r="J31" s="21">
        <v>84671</v>
      </c>
    </row>
    <row r="32" spans="1:10" x14ac:dyDescent="0.35">
      <c r="A32" s="16" t="s">
        <v>24</v>
      </c>
      <c r="B32" s="3">
        <v>18662</v>
      </c>
      <c r="C32" s="2">
        <v>6671</v>
      </c>
      <c r="D32" s="2">
        <v>1385</v>
      </c>
      <c r="E32" s="2">
        <v>3107</v>
      </c>
      <c r="F32" s="2">
        <v>535</v>
      </c>
      <c r="G32" s="24">
        <v>665</v>
      </c>
      <c r="H32" s="28">
        <v>31025</v>
      </c>
      <c r="I32" s="3">
        <v>0</v>
      </c>
      <c r="J32" s="21">
        <v>31025</v>
      </c>
    </row>
    <row r="33" spans="1:10" x14ac:dyDescent="0.35">
      <c r="A33" s="16" t="s">
        <v>25</v>
      </c>
      <c r="B33" s="2">
        <v>12997</v>
      </c>
      <c r="C33" s="2">
        <v>7623</v>
      </c>
      <c r="D33" s="2">
        <v>864</v>
      </c>
      <c r="E33" s="2">
        <v>1684</v>
      </c>
      <c r="F33" s="2">
        <v>1026</v>
      </c>
      <c r="G33" s="24">
        <v>1138</v>
      </c>
      <c r="H33" s="28">
        <v>25332</v>
      </c>
      <c r="I33" s="3">
        <v>0</v>
      </c>
      <c r="J33" s="21">
        <v>25332</v>
      </c>
    </row>
    <row r="34" spans="1:10" x14ac:dyDescent="0.35">
      <c r="A34" s="16" t="s">
        <v>40</v>
      </c>
      <c r="B34" s="34">
        <v>0</v>
      </c>
      <c r="C34" s="34">
        <v>0</v>
      </c>
      <c r="D34" s="34">
        <v>0</v>
      </c>
      <c r="E34" s="34">
        <v>0</v>
      </c>
      <c r="F34" s="34">
        <v>1</v>
      </c>
      <c r="G34" s="34">
        <v>0</v>
      </c>
      <c r="H34" s="28">
        <v>1</v>
      </c>
      <c r="I34" s="3">
        <v>0</v>
      </c>
      <c r="J34" s="17">
        <v>1</v>
      </c>
    </row>
    <row r="35" spans="1:10" ht="15" thickBot="1" x14ac:dyDescent="0.4">
      <c r="A35" s="16"/>
      <c r="B35" s="8"/>
      <c r="C35" s="41"/>
      <c r="D35" s="41"/>
      <c r="E35" s="41"/>
      <c r="F35" s="41"/>
      <c r="G35" s="40"/>
      <c r="H35" s="28"/>
      <c r="I35" s="3"/>
      <c r="J35" s="21"/>
    </row>
    <row r="36" spans="1:10" ht="15" thickBot="1" x14ac:dyDescent="0.4">
      <c r="A36" s="20" t="s">
        <v>26</v>
      </c>
      <c r="B36" s="30">
        <f t="shared" ref="B36:J36" si="1">SUM(B25:B34)</f>
        <v>294635</v>
      </c>
      <c r="C36" s="30">
        <f t="shared" si="1"/>
        <v>156158</v>
      </c>
      <c r="D36" s="30">
        <f t="shared" si="1"/>
        <v>43435</v>
      </c>
      <c r="E36" s="30">
        <f t="shared" si="1"/>
        <v>34371</v>
      </c>
      <c r="F36" s="30">
        <f t="shared" si="1"/>
        <v>90543</v>
      </c>
      <c r="G36" s="39">
        <f t="shared" si="1"/>
        <v>54771</v>
      </c>
      <c r="H36" s="38">
        <f t="shared" si="1"/>
        <v>673913</v>
      </c>
      <c r="I36" s="30">
        <f t="shared" si="1"/>
        <v>5158</v>
      </c>
      <c r="J36" s="31">
        <f t="shared" si="1"/>
        <v>679071</v>
      </c>
    </row>
    <row r="37" spans="1:10" ht="15.5" thickTop="1" thickBot="1" x14ac:dyDescent="0.4">
      <c r="A37" s="9" t="s">
        <v>27</v>
      </c>
      <c r="B37" s="32">
        <f t="shared" ref="B37:J37" si="2">SUM(B24,B36)</f>
        <v>340197</v>
      </c>
      <c r="C37" s="32">
        <f t="shared" si="2"/>
        <v>193719</v>
      </c>
      <c r="D37" s="32">
        <f t="shared" si="2"/>
        <v>57742</v>
      </c>
      <c r="E37" s="32">
        <f t="shared" si="2"/>
        <v>38761</v>
      </c>
      <c r="F37" s="32">
        <f t="shared" si="2"/>
        <v>105792</v>
      </c>
      <c r="G37" s="33">
        <f t="shared" si="2"/>
        <v>68402</v>
      </c>
      <c r="H37" s="37">
        <f t="shared" si="2"/>
        <v>804613</v>
      </c>
      <c r="I37" s="32">
        <f t="shared" si="2"/>
        <v>6216</v>
      </c>
      <c r="J37" s="36">
        <f t="shared" si="2"/>
        <v>810829</v>
      </c>
    </row>
    <row r="38" spans="1:10" ht="15" thickTop="1" x14ac:dyDescent="0.35">
      <c r="B38" s="10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5" x14ac:dyDescent="0.45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5" x14ac:dyDescent="0.45">
      <c r="A3" s="48" t="s">
        <v>53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" thickBot="1" x14ac:dyDescent="0.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29.5" thickBot="1" x14ac:dyDescent="0.4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7" t="s">
        <v>36</v>
      </c>
      <c r="I6" s="26" t="s">
        <v>39</v>
      </c>
      <c r="J6" s="15" t="s">
        <v>37</v>
      </c>
    </row>
    <row r="7" spans="1:10" ht="15" thickTop="1" x14ac:dyDescent="0.35">
      <c r="A7" s="16" t="s">
        <v>1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28">
        <v>1</v>
      </c>
      <c r="I7" s="4">
        <v>0</v>
      </c>
      <c r="J7" s="17">
        <v>1</v>
      </c>
    </row>
    <row r="8" spans="1:10" x14ac:dyDescent="0.35">
      <c r="A8" s="16" t="s">
        <v>2</v>
      </c>
      <c r="B8" s="34">
        <v>3</v>
      </c>
      <c r="C8" s="34">
        <v>0</v>
      </c>
      <c r="D8" s="34">
        <v>0</v>
      </c>
      <c r="E8" s="34">
        <v>1</v>
      </c>
      <c r="F8" s="34">
        <v>2</v>
      </c>
      <c r="G8" s="34">
        <v>0</v>
      </c>
      <c r="H8" s="28">
        <v>6</v>
      </c>
      <c r="I8" s="3">
        <v>0</v>
      </c>
      <c r="J8" s="17">
        <v>6</v>
      </c>
    </row>
    <row r="9" spans="1:10" x14ac:dyDescent="0.35">
      <c r="A9" s="16" t="s">
        <v>3</v>
      </c>
      <c r="B9" s="34">
        <v>70</v>
      </c>
      <c r="C9" s="34">
        <v>34</v>
      </c>
      <c r="D9" s="34">
        <v>17</v>
      </c>
      <c r="E9" s="34">
        <v>5</v>
      </c>
      <c r="F9" s="34">
        <v>39</v>
      </c>
      <c r="G9" s="34">
        <v>23</v>
      </c>
      <c r="H9" s="28">
        <v>188</v>
      </c>
      <c r="I9" s="3">
        <v>2</v>
      </c>
      <c r="J9" s="17">
        <v>190</v>
      </c>
    </row>
    <row r="10" spans="1:10" x14ac:dyDescent="0.35">
      <c r="A10" s="16" t="s">
        <v>4</v>
      </c>
      <c r="B10" s="34">
        <v>169</v>
      </c>
      <c r="C10" s="34">
        <v>81</v>
      </c>
      <c r="D10" s="34">
        <v>34</v>
      </c>
      <c r="E10" s="34">
        <v>6</v>
      </c>
      <c r="F10" s="34">
        <v>127</v>
      </c>
      <c r="G10" s="34">
        <v>50</v>
      </c>
      <c r="H10" s="28">
        <v>467</v>
      </c>
      <c r="I10" s="3">
        <v>0</v>
      </c>
      <c r="J10" s="17">
        <v>467</v>
      </c>
    </row>
    <row r="11" spans="1:10" x14ac:dyDescent="0.35">
      <c r="A11" s="16" t="s">
        <v>5</v>
      </c>
      <c r="B11" s="35">
        <v>1362</v>
      </c>
      <c r="C11" s="35">
        <v>1894</v>
      </c>
      <c r="D11" s="35">
        <v>1251</v>
      </c>
      <c r="E11" s="34">
        <v>300</v>
      </c>
      <c r="F11" s="35">
        <v>1019</v>
      </c>
      <c r="G11" s="35">
        <v>1032</v>
      </c>
      <c r="H11" s="28">
        <v>6858</v>
      </c>
      <c r="I11" s="3">
        <v>39</v>
      </c>
      <c r="J11" s="17">
        <v>6897</v>
      </c>
    </row>
    <row r="12" spans="1:10" x14ac:dyDescent="0.35">
      <c r="A12" s="16" t="s">
        <v>6</v>
      </c>
      <c r="B12" s="35">
        <v>3549</v>
      </c>
      <c r="C12" s="35">
        <v>4930</v>
      </c>
      <c r="D12" s="35">
        <v>3245</v>
      </c>
      <c r="E12" s="34">
        <v>721</v>
      </c>
      <c r="F12" s="35">
        <v>4015</v>
      </c>
      <c r="G12" s="35">
        <v>3915</v>
      </c>
      <c r="H12" s="28">
        <v>20375</v>
      </c>
      <c r="I12" s="3">
        <v>147</v>
      </c>
      <c r="J12" s="17">
        <v>20522</v>
      </c>
    </row>
    <row r="13" spans="1:10" x14ac:dyDescent="0.35">
      <c r="A13" s="16" t="s">
        <v>7</v>
      </c>
      <c r="B13" s="35">
        <v>6606</v>
      </c>
      <c r="C13" s="35">
        <v>8182</v>
      </c>
      <c r="D13" s="35">
        <v>4885</v>
      </c>
      <c r="E13" s="35">
        <v>1440</v>
      </c>
      <c r="F13" s="35">
        <v>4370</v>
      </c>
      <c r="G13" s="35">
        <v>5008</v>
      </c>
      <c r="H13" s="28">
        <v>30491</v>
      </c>
      <c r="I13" s="3">
        <v>303</v>
      </c>
      <c r="J13" s="17">
        <v>30794</v>
      </c>
    </row>
    <row r="14" spans="1:10" x14ac:dyDescent="0.35">
      <c r="A14" s="16" t="s">
        <v>8</v>
      </c>
      <c r="B14" s="35">
        <v>10361</v>
      </c>
      <c r="C14" s="35">
        <v>10670</v>
      </c>
      <c r="D14" s="35">
        <v>3755</v>
      </c>
      <c r="E14" s="35">
        <v>1163</v>
      </c>
      <c r="F14" s="35">
        <v>3414</v>
      </c>
      <c r="G14" s="35">
        <v>2641</v>
      </c>
      <c r="H14" s="28">
        <v>32004</v>
      </c>
      <c r="I14" s="3">
        <v>331</v>
      </c>
      <c r="J14" s="17">
        <v>32335</v>
      </c>
    </row>
    <row r="15" spans="1:10" x14ac:dyDescent="0.35">
      <c r="A15" s="16" t="s">
        <v>9</v>
      </c>
      <c r="B15" s="35">
        <v>8469</v>
      </c>
      <c r="C15" s="35">
        <v>6012</v>
      </c>
      <c r="D15" s="34">
        <v>615</v>
      </c>
      <c r="E15" s="34">
        <v>341</v>
      </c>
      <c r="F15" s="35">
        <v>1170</v>
      </c>
      <c r="G15" s="34">
        <v>599</v>
      </c>
      <c r="H15" s="28">
        <v>17206</v>
      </c>
      <c r="I15" s="3">
        <v>51</v>
      </c>
      <c r="J15" s="17">
        <v>17257</v>
      </c>
    </row>
    <row r="16" spans="1:10" x14ac:dyDescent="0.35">
      <c r="A16" s="16" t="s">
        <v>10</v>
      </c>
      <c r="B16" s="35">
        <v>6189</v>
      </c>
      <c r="C16" s="35">
        <v>2256</v>
      </c>
      <c r="D16" s="34">
        <v>422</v>
      </c>
      <c r="E16" s="34">
        <v>212</v>
      </c>
      <c r="F16" s="35">
        <v>1132</v>
      </c>
      <c r="G16" s="34">
        <v>344</v>
      </c>
      <c r="H16" s="28">
        <v>10555</v>
      </c>
      <c r="I16" s="3">
        <v>77</v>
      </c>
      <c r="J16" s="17">
        <v>10632</v>
      </c>
    </row>
    <row r="17" spans="1:10" x14ac:dyDescent="0.35">
      <c r="A17" s="16" t="s">
        <v>11</v>
      </c>
      <c r="B17" s="34">
        <v>383</v>
      </c>
      <c r="C17" s="34">
        <v>114</v>
      </c>
      <c r="D17" s="34">
        <v>2</v>
      </c>
      <c r="E17" s="34">
        <v>16</v>
      </c>
      <c r="F17" s="34">
        <v>0</v>
      </c>
      <c r="G17" s="34">
        <v>0</v>
      </c>
      <c r="H17" s="28">
        <v>515</v>
      </c>
      <c r="I17" s="3">
        <v>0</v>
      </c>
      <c r="J17" s="17">
        <v>515</v>
      </c>
    </row>
    <row r="18" spans="1:10" x14ac:dyDescent="0.35">
      <c r="A18" s="16" t="s">
        <v>12</v>
      </c>
      <c r="B18" s="35">
        <v>1332</v>
      </c>
      <c r="C18" s="34">
        <v>531</v>
      </c>
      <c r="D18" s="34">
        <v>26</v>
      </c>
      <c r="E18" s="34">
        <v>35</v>
      </c>
      <c r="F18" s="34">
        <v>0</v>
      </c>
      <c r="G18" s="34">
        <v>0</v>
      </c>
      <c r="H18" s="28">
        <v>1924</v>
      </c>
      <c r="I18" s="3">
        <v>32</v>
      </c>
      <c r="J18" s="17">
        <v>1956</v>
      </c>
    </row>
    <row r="19" spans="1:10" x14ac:dyDescent="0.35">
      <c r="A19" s="16" t="s">
        <v>13</v>
      </c>
      <c r="B19" s="35">
        <v>2278</v>
      </c>
      <c r="C19" s="34">
        <v>1172</v>
      </c>
      <c r="D19" s="34">
        <v>34</v>
      </c>
      <c r="E19" s="34">
        <v>92</v>
      </c>
      <c r="F19" s="34">
        <v>0</v>
      </c>
      <c r="G19" s="34">
        <v>0</v>
      </c>
      <c r="H19" s="28">
        <v>3576</v>
      </c>
      <c r="I19" s="3">
        <v>47</v>
      </c>
      <c r="J19" s="17">
        <v>3623</v>
      </c>
    </row>
    <row r="20" spans="1:10" x14ac:dyDescent="0.35">
      <c r="A20" s="16" t="s">
        <v>14</v>
      </c>
      <c r="B20" s="35">
        <v>3198</v>
      </c>
      <c r="C20" s="35">
        <v>1224</v>
      </c>
      <c r="D20" s="34">
        <v>35</v>
      </c>
      <c r="E20" s="34">
        <v>69</v>
      </c>
      <c r="F20" s="34">
        <v>0</v>
      </c>
      <c r="G20" s="34">
        <v>0</v>
      </c>
      <c r="H20" s="28">
        <v>4526</v>
      </c>
      <c r="I20" s="3">
        <v>34</v>
      </c>
      <c r="J20" s="17">
        <v>4560</v>
      </c>
    </row>
    <row r="21" spans="1:10" x14ac:dyDescent="0.35">
      <c r="A21" s="16" t="s">
        <v>15</v>
      </c>
      <c r="B21" s="35">
        <v>1443</v>
      </c>
      <c r="C21" s="34">
        <v>448</v>
      </c>
      <c r="D21" s="34">
        <v>0</v>
      </c>
      <c r="E21" s="34">
        <v>35</v>
      </c>
      <c r="F21" s="34">
        <v>0</v>
      </c>
      <c r="G21" s="34">
        <v>0</v>
      </c>
      <c r="H21" s="28">
        <v>1926</v>
      </c>
      <c r="I21" s="3">
        <v>0</v>
      </c>
      <c r="J21" s="17">
        <v>1926</v>
      </c>
    </row>
    <row r="22" spans="1:10" x14ac:dyDescent="0.35">
      <c r="A22" s="16" t="s">
        <v>41</v>
      </c>
      <c r="B22" s="34">
        <v>1</v>
      </c>
      <c r="C22" s="34">
        <v>0</v>
      </c>
      <c r="D22" s="34">
        <v>0</v>
      </c>
      <c r="E22" s="34">
        <v>0</v>
      </c>
      <c r="F22" s="34">
        <v>1</v>
      </c>
      <c r="G22" s="34">
        <v>0</v>
      </c>
      <c r="H22" s="28">
        <v>2</v>
      </c>
      <c r="I22" s="3">
        <v>0</v>
      </c>
      <c r="J22" s="17">
        <v>2</v>
      </c>
    </row>
    <row r="23" spans="1:10" ht="15" thickBot="1" x14ac:dyDescent="0.4">
      <c r="A23" s="18"/>
      <c r="B23" s="6"/>
      <c r="C23" s="7"/>
      <c r="D23" s="7"/>
      <c r="E23" s="7"/>
      <c r="F23" s="7"/>
      <c r="G23" s="25"/>
      <c r="H23" s="29"/>
      <c r="I23" s="6" t="s">
        <v>38</v>
      </c>
      <c r="J23" s="19"/>
    </row>
    <row r="24" spans="1:10" ht="15" thickBot="1" x14ac:dyDescent="0.4">
      <c r="A24" s="20" t="s">
        <v>16</v>
      </c>
      <c r="B24" s="30">
        <f>SUM(B7:B22)</f>
        <v>45413</v>
      </c>
      <c r="C24" s="30">
        <f>SUM(C7:C22)</f>
        <v>37548</v>
      </c>
      <c r="D24" s="30">
        <f>SUM(D7:D22)</f>
        <v>14321</v>
      </c>
      <c r="E24" s="30">
        <f>SUM(E7:E22)</f>
        <v>4436</v>
      </c>
      <c r="F24" s="30">
        <f>SUM(F7:F22)</f>
        <v>15290</v>
      </c>
      <c r="G24" s="39">
        <f>SUM(G7:G22)</f>
        <v>13612</v>
      </c>
      <c r="H24" s="38">
        <f>SUM(H7:H22)</f>
        <v>130620</v>
      </c>
      <c r="I24" s="30">
        <f>SUM(I7:I22)</f>
        <v>1063</v>
      </c>
      <c r="J24" s="31">
        <f>SUM(J7:J22)</f>
        <v>131683</v>
      </c>
    </row>
    <row r="25" spans="1:10" x14ac:dyDescent="0.35">
      <c r="A25" s="16" t="s">
        <v>17</v>
      </c>
      <c r="B25" s="4">
        <v>2055</v>
      </c>
      <c r="C25" s="5">
        <v>1521</v>
      </c>
      <c r="D25" s="5">
        <v>353</v>
      </c>
      <c r="E25" s="5">
        <v>171</v>
      </c>
      <c r="F25" s="5">
        <v>2011</v>
      </c>
      <c r="G25" s="23">
        <v>959</v>
      </c>
      <c r="H25" s="28">
        <v>7070</v>
      </c>
      <c r="I25" s="4">
        <v>70</v>
      </c>
      <c r="J25" s="21">
        <v>7140</v>
      </c>
    </row>
    <row r="26" spans="1:10" x14ac:dyDescent="0.35">
      <c r="A26" s="16" t="s">
        <v>18</v>
      </c>
      <c r="B26" s="3">
        <v>7223</v>
      </c>
      <c r="C26" s="2">
        <v>5527</v>
      </c>
      <c r="D26" s="2">
        <v>975</v>
      </c>
      <c r="E26" s="2">
        <v>483</v>
      </c>
      <c r="F26" s="2">
        <v>4458</v>
      </c>
      <c r="G26" s="24">
        <v>2882</v>
      </c>
      <c r="H26" s="28">
        <v>21548</v>
      </c>
      <c r="I26" s="3">
        <v>126</v>
      </c>
      <c r="J26" s="21">
        <v>21674</v>
      </c>
    </row>
    <row r="27" spans="1:10" x14ac:dyDescent="0.35">
      <c r="A27" s="16" t="s">
        <v>19</v>
      </c>
      <c r="B27" s="3">
        <v>18672</v>
      </c>
      <c r="C27" s="2">
        <v>13966</v>
      </c>
      <c r="D27" s="2">
        <v>3804</v>
      </c>
      <c r="E27" s="2">
        <v>1096</v>
      </c>
      <c r="F27" s="2">
        <v>15259</v>
      </c>
      <c r="G27" s="24">
        <v>8264</v>
      </c>
      <c r="H27" s="28">
        <v>61061</v>
      </c>
      <c r="I27" s="3">
        <v>660</v>
      </c>
      <c r="J27" s="21">
        <v>61721</v>
      </c>
    </row>
    <row r="28" spans="1:10" x14ac:dyDescent="0.35">
      <c r="A28" s="16" t="s">
        <v>20</v>
      </c>
      <c r="B28" s="3">
        <v>35552</v>
      </c>
      <c r="C28" s="2">
        <v>19407</v>
      </c>
      <c r="D28" s="2">
        <v>10529</v>
      </c>
      <c r="E28" s="2">
        <v>1958</v>
      </c>
      <c r="F28" s="2">
        <v>19097</v>
      </c>
      <c r="G28" s="24">
        <v>12382</v>
      </c>
      <c r="H28" s="28">
        <v>98925</v>
      </c>
      <c r="I28" s="3">
        <v>1472</v>
      </c>
      <c r="J28" s="21">
        <v>100397</v>
      </c>
    </row>
    <row r="29" spans="1:10" x14ac:dyDescent="0.35">
      <c r="A29" s="16" t="s">
        <v>21</v>
      </c>
      <c r="B29" s="3">
        <v>61119</v>
      </c>
      <c r="C29" s="2">
        <v>32373</v>
      </c>
      <c r="D29" s="2">
        <v>13964</v>
      </c>
      <c r="E29" s="2">
        <v>4710</v>
      </c>
      <c r="F29" s="2">
        <v>20754</v>
      </c>
      <c r="G29" s="24">
        <v>12399</v>
      </c>
      <c r="H29" s="28">
        <v>145319</v>
      </c>
      <c r="I29" s="3">
        <v>1676</v>
      </c>
      <c r="J29" s="21">
        <v>146995</v>
      </c>
    </row>
    <row r="30" spans="1:10" x14ac:dyDescent="0.35">
      <c r="A30" s="16" t="s">
        <v>22</v>
      </c>
      <c r="B30" s="3">
        <v>102842</v>
      </c>
      <c r="C30" s="2">
        <v>52905</v>
      </c>
      <c r="D30" s="2">
        <v>7814</v>
      </c>
      <c r="E30" s="2">
        <v>6295</v>
      </c>
      <c r="F30" s="2">
        <v>15382</v>
      </c>
      <c r="G30" s="24">
        <v>12297</v>
      </c>
      <c r="H30" s="28">
        <v>197535</v>
      </c>
      <c r="I30" s="3">
        <v>1029</v>
      </c>
      <c r="J30" s="21">
        <v>198564</v>
      </c>
    </row>
    <row r="31" spans="1:10" x14ac:dyDescent="0.35">
      <c r="A31" s="16" t="s">
        <v>23</v>
      </c>
      <c r="B31" s="3">
        <v>34417</v>
      </c>
      <c r="C31" s="2">
        <v>15221</v>
      </c>
      <c r="D31" s="2">
        <v>3845</v>
      </c>
      <c r="E31" s="2">
        <v>14653</v>
      </c>
      <c r="F31" s="2">
        <v>12132</v>
      </c>
      <c r="G31" s="24">
        <v>3672</v>
      </c>
      <c r="H31" s="28">
        <v>83940</v>
      </c>
      <c r="I31" s="3">
        <v>105</v>
      </c>
      <c r="J31" s="21">
        <v>84045</v>
      </c>
    </row>
    <row r="32" spans="1:10" x14ac:dyDescent="0.35">
      <c r="A32" s="16" t="s">
        <v>24</v>
      </c>
      <c r="B32" s="3">
        <v>18360</v>
      </c>
      <c r="C32" s="2">
        <v>6702</v>
      </c>
      <c r="D32" s="2">
        <v>1364</v>
      </c>
      <c r="E32" s="2">
        <v>3163</v>
      </c>
      <c r="F32" s="2">
        <v>547</v>
      </c>
      <c r="G32" s="24">
        <v>651</v>
      </c>
      <c r="H32" s="28">
        <v>30787</v>
      </c>
      <c r="I32" s="3">
        <v>0</v>
      </c>
      <c r="J32" s="21">
        <v>30787</v>
      </c>
    </row>
    <row r="33" spans="1:10" x14ac:dyDescent="0.35">
      <c r="A33" s="16" t="s">
        <v>25</v>
      </c>
      <c r="B33" s="2">
        <v>13244</v>
      </c>
      <c r="C33" s="2">
        <v>7602</v>
      </c>
      <c r="D33" s="2">
        <v>831</v>
      </c>
      <c r="E33" s="2">
        <v>1756</v>
      </c>
      <c r="F33" s="2">
        <v>1113</v>
      </c>
      <c r="G33" s="24">
        <v>1150</v>
      </c>
      <c r="H33" s="28">
        <v>25696</v>
      </c>
      <c r="I33" s="3">
        <v>0</v>
      </c>
      <c r="J33" s="21">
        <v>25696</v>
      </c>
    </row>
    <row r="34" spans="1:10" x14ac:dyDescent="0.35">
      <c r="A34" s="16" t="s">
        <v>40</v>
      </c>
      <c r="B34" s="34">
        <v>0</v>
      </c>
      <c r="C34" s="34">
        <v>0</v>
      </c>
      <c r="D34" s="34">
        <v>0</v>
      </c>
      <c r="E34" s="34">
        <v>0</v>
      </c>
      <c r="F34" s="34">
        <v>1</v>
      </c>
      <c r="G34" s="34">
        <v>0</v>
      </c>
      <c r="H34" s="28">
        <v>1</v>
      </c>
      <c r="I34" s="3">
        <v>0</v>
      </c>
      <c r="J34" s="17">
        <v>1</v>
      </c>
    </row>
    <row r="35" spans="1:10" ht="15" thickBot="1" x14ac:dyDescent="0.4">
      <c r="A35" s="16"/>
      <c r="B35" s="8"/>
      <c r="C35" s="41"/>
      <c r="D35" s="41"/>
      <c r="E35" s="41"/>
      <c r="F35" s="41"/>
      <c r="G35" s="40"/>
      <c r="H35" s="28"/>
      <c r="I35" s="3"/>
      <c r="J35" s="21"/>
    </row>
    <row r="36" spans="1:10" ht="15" thickBot="1" x14ac:dyDescent="0.4">
      <c r="A36" s="20" t="s">
        <v>26</v>
      </c>
      <c r="B36" s="30">
        <f>SUM(B25:B34)</f>
        <v>293484</v>
      </c>
      <c r="C36" s="30">
        <f>SUM(C25:C34)</f>
        <v>155224</v>
      </c>
      <c r="D36" s="30">
        <f>SUM(D25:D34)</f>
        <v>43479</v>
      </c>
      <c r="E36" s="30">
        <f>SUM(E25:E34)</f>
        <v>34285</v>
      </c>
      <c r="F36" s="30">
        <f>SUM(F25:F34)</f>
        <v>90754</v>
      </c>
      <c r="G36" s="39">
        <f>SUM(G25:G34)</f>
        <v>54656</v>
      </c>
      <c r="H36" s="38">
        <f>SUM(H25:H34)</f>
        <v>671882</v>
      </c>
      <c r="I36" s="30">
        <f>SUM(I25:I34)</f>
        <v>5138</v>
      </c>
      <c r="J36" s="31">
        <f>SUM(J25:J34)</f>
        <v>677020</v>
      </c>
    </row>
    <row r="37" spans="1:10" ht="15.5" thickTop="1" thickBot="1" x14ac:dyDescent="0.4">
      <c r="A37" s="9" t="s">
        <v>27</v>
      </c>
      <c r="B37" s="32">
        <f>SUM(B24,B36)</f>
        <v>338897</v>
      </c>
      <c r="C37" s="32">
        <f>SUM(C24,C36)</f>
        <v>192772</v>
      </c>
      <c r="D37" s="32">
        <f>SUM(D24,D36)</f>
        <v>57800</v>
      </c>
      <c r="E37" s="32">
        <f>SUM(E24,E36)</f>
        <v>38721</v>
      </c>
      <c r="F37" s="32">
        <f>SUM(F24,F36)</f>
        <v>106044</v>
      </c>
      <c r="G37" s="33">
        <f>SUM(G24,G36)</f>
        <v>68268</v>
      </c>
      <c r="H37" s="37">
        <f>SUM(H24,H36)</f>
        <v>802502</v>
      </c>
      <c r="I37" s="32">
        <f>SUM(I24,I36)</f>
        <v>6201</v>
      </c>
      <c r="J37" s="36">
        <f>SUM(J24,J36)</f>
        <v>808703</v>
      </c>
    </row>
    <row r="38" spans="1:10" ht="15" thickTop="1" x14ac:dyDescent="0.35">
      <c r="B38" s="10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5" x14ac:dyDescent="0.45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5" x14ac:dyDescent="0.45">
      <c r="A3" s="48" t="s">
        <v>46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" thickBot="1" x14ac:dyDescent="0.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29.5" thickBot="1" x14ac:dyDescent="0.4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7" t="s">
        <v>36</v>
      </c>
      <c r="I6" s="26" t="s">
        <v>39</v>
      </c>
      <c r="J6" s="15" t="s">
        <v>37</v>
      </c>
    </row>
    <row r="7" spans="1:10" ht="15" thickTop="1" x14ac:dyDescent="0.35">
      <c r="A7" s="16" t="s">
        <v>1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28">
        <v>1</v>
      </c>
      <c r="I7" s="4">
        <v>0</v>
      </c>
      <c r="J7" s="17">
        <v>1</v>
      </c>
    </row>
    <row r="8" spans="1:10" x14ac:dyDescent="0.35">
      <c r="A8" s="16" t="s">
        <v>2</v>
      </c>
      <c r="B8" s="34">
        <v>3</v>
      </c>
      <c r="C8" s="34">
        <v>0</v>
      </c>
      <c r="D8" s="34">
        <v>0</v>
      </c>
      <c r="E8" s="34">
        <v>1</v>
      </c>
      <c r="F8" s="34">
        <v>2</v>
      </c>
      <c r="G8" s="34">
        <v>0</v>
      </c>
      <c r="H8" s="28">
        <v>6</v>
      </c>
      <c r="I8" s="3">
        <v>0</v>
      </c>
      <c r="J8" s="17">
        <v>6</v>
      </c>
    </row>
    <row r="9" spans="1:10" x14ac:dyDescent="0.35">
      <c r="A9" s="16" t="s">
        <v>3</v>
      </c>
      <c r="B9" s="34">
        <v>68</v>
      </c>
      <c r="C9" s="34">
        <v>34</v>
      </c>
      <c r="D9" s="34">
        <v>16</v>
      </c>
      <c r="E9" s="34">
        <v>5</v>
      </c>
      <c r="F9" s="34">
        <v>41</v>
      </c>
      <c r="G9" s="34">
        <v>26</v>
      </c>
      <c r="H9" s="28">
        <v>190</v>
      </c>
      <c r="I9" s="3">
        <v>1</v>
      </c>
      <c r="J9" s="17">
        <v>191</v>
      </c>
    </row>
    <row r="10" spans="1:10" x14ac:dyDescent="0.35">
      <c r="A10" s="16" t="s">
        <v>4</v>
      </c>
      <c r="B10" s="34">
        <v>174</v>
      </c>
      <c r="C10" s="34">
        <v>82</v>
      </c>
      <c r="D10" s="34">
        <v>33</v>
      </c>
      <c r="E10" s="34">
        <v>6</v>
      </c>
      <c r="F10" s="34">
        <v>135</v>
      </c>
      <c r="G10" s="34">
        <v>55</v>
      </c>
      <c r="H10" s="28">
        <v>485</v>
      </c>
      <c r="I10" s="3">
        <v>0</v>
      </c>
      <c r="J10" s="17">
        <v>485</v>
      </c>
    </row>
    <row r="11" spans="1:10" x14ac:dyDescent="0.35">
      <c r="A11" s="16" t="s">
        <v>5</v>
      </c>
      <c r="B11" s="35">
        <v>1365</v>
      </c>
      <c r="C11" s="35">
        <v>1909</v>
      </c>
      <c r="D11" s="35">
        <v>1245</v>
      </c>
      <c r="E11" s="34">
        <v>304</v>
      </c>
      <c r="F11" s="35">
        <v>1031</v>
      </c>
      <c r="G11" s="35">
        <v>1021</v>
      </c>
      <c r="H11" s="28">
        <v>6875</v>
      </c>
      <c r="I11" s="3">
        <v>40</v>
      </c>
      <c r="J11" s="17">
        <v>6915</v>
      </c>
    </row>
    <row r="12" spans="1:10" x14ac:dyDescent="0.35">
      <c r="A12" s="16" t="s">
        <v>6</v>
      </c>
      <c r="B12" s="35">
        <v>3543</v>
      </c>
      <c r="C12" s="35">
        <v>4946</v>
      </c>
      <c r="D12" s="35">
        <v>3249</v>
      </c>
      <c r="E12" s="34">
        <v>718</v>
      </c>
      <c r="F12" s="35">
        <v>3958</v>
      </c>
      <c r="G12" s="35">
        <v>3907</v>
      </c>
      <c r="H12" s="28">
        <v>20321</v>
      </c>
      <c r="I12" s="3">
        <v>148</v>
      </c>
      <c r="J12" s="17">
        <v>20469</v>
      </c>
    </row>
    <row r="13" spans="1:10" x14ac:dyDescent="0.35">
      <c r="A13" s="16" t="s">
        <v>7</v>
      </c>
      <c r="B13" s="35">
        <v>6605</v>
      </c>
      <c r="C13" s="35">
        <v>8384</v>
      </c>
      <c r="D13" s="35">
        <v>4896</v>
      </c>
      <c r="E13" s="35">
        <v>1477</v>
      </c>
      <c r="F13" s="35">
        <v>4365</v>
      </c>
      <c r="G13" s="35">
        <v>4998</v>
      </c>
      <c r="H13" s="28">
        <v>30725</v>
      </c>
      <c r="I13" s="3">
        <v>304</v>
      </c>
      <c r="J13" s="17">
        <v>31029</v>
      </c>
    </row>
    <row r="14" spans="1:10" x14ac:dyDescent="0.35">
      <c r="A14" s="16" t="s">
        <v>8</v>
      </c>
      <c r="B14" s="35">
        <v>10286</v>
      </c>
      <c r="C14" s="35">
        <v>10601</v>
      </c>
      <c r="D14" s="35">
        <v>3729</v>
      </c>
      <c r="E14" s="35">
        <v>1108</v>
      </c>
      <c r="F14" s="35">
        <v>3486</v>
      </c>
      <c r="G14" s="35">
        <v>2674</v>
      </c>
      <c r="H14" s="28">
        <v>31884</v>
      </c>
      <c r="I14" s="3">
        <v>341</v>
      </c>
      <c r="J14" s="17">
        <v>32225</v>
      </c>
    </row>
    <row r="15" spans="1:10" x14ac:dyDescent="0.35">
      <c r="A15" s="16" t="s">
        <v>9</v>
      </c>
      <c r="B15" s="35">
        <v>8426</v>
      </c>
      <c r="C15" s="35">
        <v>5890</v>
      </c>
      <c r="D15" s="34">
        <v>584</v>
      </c>
      <c r="E15" s="34">
        <v>345</v>
      </c>
      <c r="F15" s="35">
        <v>1217</v>
      </c>
      <c r="G15" s="34">
        <v>592</v>
      </c>
      <c r="H15" s="28">
        <v>17054</v>
      </c>
      <c r="I15" s="3">
        <v>55</v>
      </c>
      <c r="J15" s="17">
        <v>17109</v>
      </c>
    </row>
    <row r="16" spans="1:10" x14ac:dyDescent="0.35">
      <c r="A16" s="16" t="s">
        <v>10</v>
      </c>
      <c r="B16" s="35">
        <v>6202</v>
      </c>
      <c r="C16" s="35">
        <v>2356</v>
      </c>
      <c r="D16" s="34">
        <v>413</v>
      </c>
      <c r="E16" s="34">
        <v>210</v>
      </c>
      <c r="F16" s="35">
        <v>1084</v>
      </c>
      <c r="G16" s="34">
        <v>332</v>
      </c>
      <c r="H16" s="28">
        <v>10597</v>
      </c>
      <c r="I16" s="3">
        <v>66</v>
      </c>
      <c r="J16" s="17">
        <v>10663</v>
      </c>
    </row>
    <row r="17" spans="1:10" x14ac:dyDescent="0.35">
      <c r="A17" s="16" t="s">
        <v>11</v>
      </c>
      <c r="B17" s="34">
        <v>382</v>
      </c>
      <c r="C17" s="34">
        <v>116</v>
      </c>
      <c r="D17" s="34">
        <v>2</v>
      </c>
      <c r="E17" s="34">
        <v>16</v>
      </c>
      <c r="F17" s="34">
        <v>0</v>
      </c>
      <c r="G17" s="34">
        <v>0</v>
      </c>
      <c r="H17" s="28">
        <v>516</v>
      </c>
      <c r="I17" s="3">
        <v>0</v>
      </c>
      <c r="J17" s="17">
        <v>516</v>
      </c>
    </row>
    <row r="18" spans="1:10" x14ac:dyDescent="0.35">
      <c r="A18" s="16" t="s">
        <v>12</v>
      </c>
      <c r="B18" s="35">
        <v>1316</v>
      </c>
      <c r="C18" s="34">
        <v>532</v>
      </c>
      <c r="D18" s="34">
        <v>27</v>
      </c>
      <c r="E18" s="34">
        <v>34</v>
      </c>
      <c r="F18" s="34">
        <v>0</v>
      </c>
      <c r="G18" s="34">
        <v>0</v>
      </c>
      <c r="H18" s="28">
        <v>1909</v>
      </c>
      <c r="I18" s="3">
        <v>32</v>
      </c>
      <c r="J18" s="17">
        <v>1941</v>
      </c>
    </row>
    <row r="19" spans="1:10" x14ac:dyDescent="0.35">
      <c r="A19" s="16" t="s">
        <v>13</v>
      </c>
      <c r="B19" s="35">
        <v>2271</v>
      </c>
      <c r="C19" s="34">
        <v>1169</v>
      </c>
      <c r="D19" s="34">
        <v>33</v>
      </c>
      <c r="E19" s="34">
        <v>91</v>
      </c>
      <c r="F19" s="34">
        <v>0</v>
      </c>
      <c r="G19" s="34">
        <v>0</v>
      </c>
      <c r="H19" s="28">
        <v>3564</v>
      </c>
      <c r="I19" s="3">
        <v>47</v>
      </c>
      <c r="J19" s="17">
        <v>3611</v>
      </c>
    </row>
    <row r="20" spans="1:10" x14ac:dyDescent="0.35">
      <c r="A20" s="16" t="s">
        <v>14</v>
      </c>
      <c r="B20" s="35">
        <v>3187</v>
      </c>
      <c r="C20" s="35">
        <v>1228</v>
      </c>
      <c r="D20" s="34">
        <v>35</v>
      </c>
      <c r="E20" s="34">
        <v>68</v>
      </c>
      <c r="F20" s="34">
        <v>0</v>
      </c>
      <c r="G20" s="34">
        <v>0</v>
      </c>
      <c r="H20" s="28">
        <v>4518</v>
      </c>
      <c r="I20" s="3">
        <v>34</v>
      </c>
      <c r="J20" s="17">
        <v>4552</v>
      </c>
    </row>
    <row r="21" spans="1:10" x14ac:dyDescent="0.35">
      <c r="A21" s="16" t="s">
        <v>15</v>
      </c>
      <c r="B21" s="35">
        <v>1480</v>
      </c>
      <c r="C21" s="34">
        <v>457</v>
      </c>
      <c r="D21" s="34">
        <v>0</v>
      </c>
      <c r="E21" s="34">
        <v>35</v>
      </c>
      <c r="F21" s="34">
        <v>0</v>
      </c>
      <c r="G21" s="34">
        <v>0</v>
      </c>
      <c r="H21" s="28">
        <v>1972</v>
      </c>
      <c r="I21" s="3">
        <v>0</v>
      </c>
      <c r="J21" s="17">
        <v>1972</v>
      </c>
    </row>
    <row r="22" spans="1:10" x14ac:dyDescent="0.35">
      <c r="A22" s="16" t="s">
        <v>41</v>
      </c>
      <c r="B22" s="34">
        <v>1</v>
      </c>
      <c r="C22" s="34">
        <v>0</v>
      </c>
      <c r="D22" s="34">
        <v>0</v>
      </c>
      <c r="E22" s="34">
        <v>0</v>
      </c>
      <c r="F22" s="34">
        <v>1</v>
      </c>
      <c r="G22" s="34">
        <v>0</v>
      </c>
      <c r="H22" s="28">
        <v>2</v>
      </c>
      <c r="I22" s="3">
        <v>0</v>
      </c>
      <c r="J22" s="17">
        <v>2</v>
      </c>
    </row>
    <row r="23" spans="1:10" ht="15" thickBot="1" x14ac:dyDescent="0.4">
      <c r="A23" s="18"/>
      <c r="B23" s="6"/>
      <c r="C23" s="7"/>
      <c r="D23" s="7"/>
      <c r="E23" s="7"/>
      <c r="F23" s="7"/>
      <c r="G23" s="25"/>
      <c r="H23" s="29"/>
      <c r="I23" s="6" t="s">
        <v>38</v>
      </c>
      <c r="J23" s="19"/>
    </row>
    <row r="24" spans="1:10" ht="15" thickBot="1" x14ac:dyDescent="0.4">
      <c r="A24" s="20" t="s">
        <v>16</v>
      </c>
      <c r="B24" s="30">
        <f>SUM(B7:B22)</f>
        <v>45309</v>
      </c>
      <c r="C24" s="30">
        <f>SUM(C7:C22)</f>
        <v>37704</v>
      </c>
      <c r="D24" s="30">
        <f>SUM(D7:D22)</f>
        <v>14262</v>
      </c>
      <c r="E24" s="30">
        <f>SUM(E7:E22)</f>
        <v>4418</v>
      </c>
      <c r="F24" s="30">
        <f>SUM(F7:F22)</f>
        <v>15321</v>
      </c>
      <c r="G24" s="39">
        <f>SUM(G7:G22)</f>
        <v>13605</v>
      </c>
      <c r="H24" s="38">
        <f>SUM(H7:H22)</f>
        <v>130619</v>
      </c>
      <c r="I24" s="30">
        <f>SUM(I7:I22)</f>
        <v>1068</v>
      </c>
      <c r="J24" s="31">
        <f>SUM(J7:J22)</f>
        <v>131687</v>
      </c>
    </row>
    <row r="25" spans="1:10" x14ac:dyDescent="0.35">
      <c r="A25" s="16" t="s">
        <v>17</v>
      </c>
      <c r="B25" s="4">
        <v>2070</v>
      </c>
      <c r="C25" s="5">
        <v>1508</v>
      </c>
      <c r="D25" s="5">
        <v>349</v>
      </c>
      <c r="E25" s="5">
        <v>173</v>
      </c>
      <c r="F25" s="5">
        <v>1984</v>
      </c>
      <c r="G25" s="23">
        <v>963</v>
      </c>
      <c r="H25" s="28">
        <v>7047</v>
      </c>
      <c r="I25" s="4">
        <v>74</v>
      </c>
      <c r="J25" s="21">
        <v>7121</v>
      </c>
    </row>
    <row r="26" spans="1:10" x14ac:dyDescent="0.35">
      <c r="A26" s="16" t="s">
        <v>18</v>
      </c>
      <c r="B26" s="3">
        <v>7193</v>
      </c>
      <c r="C26" s="2">
        <v>5566</v>
      </c>
      <c r="D26" s="2">
        <v>972</v>
      </c>
      <c r="E26" s="2">
        <v>479</v>
      </c>
      <c r="F26" s="2">
        <v>4430</v>
      </c>
      <c r="G26" s="24">
        <v>2893</v>
      </c>
      <c r="H26" s="28">
        <v>21533</v>
      </c>
      <c r="I26" s="3">
        <v>127</v>
      </c>
      <c r="J26" s="21">
        <v>21660</v>
      </c>
    </row>
    <row r="27" spans="1:10" x14ac:dyDescent="0.35">
      <c r="A27" s="16" t="s">
        <v>19</v>
      </c>
      <c r="B27" s="3">
        <v>18571</v>
      </c>
      <c r="C27" s="2">
        <v>13804</v>
      </c>
      <c r="D27" s="2">
        <v>3796</v>
      </c>
      <c r="E27" s="2">
        <v>1094</v>
      </c>
      <c r="F27" s="2">
        <v>15217</v>
      </c>
      <c r="G27" s="24">
        <v>8258</v>
      </c>
      <c r="H27" s="28">
        <v>60740</v>
      </c>
      <c r="I27" s="3">
        <v>662</v>
      </c>
      <c r="J27" s="21">
        <v>61402</v>
      </c>
    </row>
    <row r="28" spans="1:10" x14ac:dyDescent="0.35">
      <c r="A28" s="16" t="s">
        <v>20</v>
      </c>
      <c r="B28" s="3">
        <v>35370</v>
      </c>
      <c r="C28" s="2">
        <v>19328</v>
      </c>
      <c r="D28" s="2">
        <v>10706</v>
      </c>
      <c r="E28" s="2">
        <v>1948</v>
      </c>
      <c r="F28" s="2">
        <v>19145</v>
      </c>
      <c r="G28" s="24">
        <v>12392</v>
      </c>
      <c r="H28" s="28">
        <v>98889</v>
      </c>
      <c r="I28" s="3">
        <v>1466</v>
      </c>
      <c r="J28" s="21">
        <v>100355</v>
      </c>
    </row>
    <row r="29" spans="1:10" x14ac:dyDescent="0.35">
      <c r="A29" s="16" t="s">
        <v>21</v>
      </c>
      <c r="B29" s="3">
        <v>60937</v>
      </c>
      <c r="C29" s="2">
        <v>32696</v>
      </c>
      <c r="D29" s="2">
        <v>14104</v>
      </c>
      <c r="E29" s="2">
        <v>4606</v>
      </c>
      <c r="F29" s="2">
        <v>20845</v>
      </c>
      <c r="G29" s="24">
        <v>12465</v>
      </c>
      <c r="H29" s="28">
        <v>145653</v>
      </c>
      <c r="I29" s="3">
        <v>1678</v>
      </c>
      <c r="J29" s="21">
        <v>147331</v>
      </c>
    </row>
    <row r="30" spans="1:10" x14ac:dyDescent="0.35">
      <c r="A30" s="16" t="s">
        <v>22</v>
      </c>
      <c r="B30" s="3">
        <v>102872</v>
      </c>
      <c r="C30" s="2">
        <v>52297</v>
      </c>
      <c r="D30" s="2">
        <v>7716</v>
      </c>
      <c r="E30" s="2">
        <v>6277</v>
      </c>
      <c r="F30" s="2">
        <v>15279</v>
      </c>
      <c r="G30" s="24">
        <v>12216</v>
      </c>
      <c r="H30" s="28">
        <v>196657</v>
      </c>
      <c r="I30" s="3">
        <v>1018</v>
      </c>
      <c r="J30" s="21">
        <v>197675</v>
      </c>
    </row>
    <row r="31" spans="1:10" x14ac:dyDescent="0.35">
      <c r="A31" s="16" t="s">
        <v>23</v>
      </c>
      <c r="B31" s="3">
        <v>34306</v>
      </c>
      <c r="C31" s="2">
        <v>14914</v>
      </c>
      <c r="D31" s="2">
        <v>3699</v>
      </c>
      <c r="E31" s="2">
        <v>14820</v>
      </c>
      <c r="F31" s="2">
        <v>12136</v>
      </c>
      <c r="G31" s="24">
        <v>3682</v>
      </c>
      <c r="H31" s="28">
        <v>83557</v>
      </c>
      <c r="I31" s="3">
        <v>99</v>
      </c>
      <c r="J31" s="21">
        <v>83656</v>
      </c>
    </row>
    <row r="32" spans="1:10" x14ac:dyDescent="0.35">
      <c r="A32" s="16" t="s">
        <v>24</v>
      </c>
      <c r="B32" s="3">
        <v>18091</v>
      </c>
      <c r="C32" s="2">
        <v>7042</v>
      </c>
      <c r="D32" s="2">
        <v>1336</v>
      </c>
      <c r="E32" s="2">
        <v>3247</v>
      </c>
      <c r="F32" s="2">
        <v>556</v>
      </c>
      <c r="G32" s="24">
        <v>666</v>
      </c>
      <c r="H32" s="28">
        <v>30938</v>
      </c>
      <c r="I32" s="3">
        <v>0</v>
      </c>
      <c r="J32" s="21">
        <v>30938</v>
      </c>
    </row>
    <row r="33" spans="1:10" x14ac:dyDescent="0.35">
      <c r="A33" s="16" t="s">
        <v>25</v>
      </c>
      <c r="B33" s="2">
        <v>13807</v>
      </c>
      <c r="C33" s="2">
        <v>7087</v>
      </c>
      <c r="D33" s="2">
        <v>800</v>
      </c>
      <c r="E33" s="2">
        <v>1657</v>
      </c>
      <c r="F33" s="2">
        <v>1221</v>
      </c>
      <c r="G33" s="24">
        <v>1164</v>
      </c>
      <c r="H33" s="28">
        <v>25736</v>
      </c>
      <c r="I33" s="3">
        <v>0</v>
      </c>
      <c r="J33" s="21">
        <v>25736</v>
      </c>
    </row>
    <row r="34" spans="1:10" x14ac:dyDescent="0.35">
      <c r="A34" s="16" t="s">
        <v>40</v>
      </c>
      <c r="B34" s="34">
        <v>0</v>
      </c>
      <c r="C34" s="34">
        <v>0</v>
      </c>
      <c r="D34" s="34">
        <v>0</v>
      </c>
      <c r="E34" s="34">
        <v>0</v>
      </c>
      <c r="F34" s="34">
        <v>1</v>
      </c>
      <c r="G34" s="34">
        <v>0</v>
      </c>
      <c r="H34" s="28">
        <v>1</v>
      </c>
      <c r="I34" s="3">
        <v>0</v>
      </c>
      <c r="J34" s="17">
        <v>1</v>
      </c>
    </row>
    <row r="35" spans="1:10" ht="15" thickBot="1" x14ac:dyDescent="0.4">
      <c r="A35" s="16"/>
      <c r="B35" s="8"/>
      <c r="C35" s="41"/>
      <c r="D35" s="41"/>
      <c r="E35" s="41"/>
      <c r="F35" s="41"/>
      <c r="G35" s="40"/>
      <c r="H35" s="28"/>
      <c r="I35" s="3"/>
      <c r="J35" s="21"/>
    </row>
    <row r="36" spans="1:10" ht="15" thickBot="1" x14ac:dyDescent="0.4">
      <c r="A36" s="20" t="s">
        <v>26</v>
      </c>
      <c r="B36" s="30">
        <f>SUM(B25:B34)</f>
        <v>293217</v>
      </c>
      <c r="C36" s="30">
        <f>SUM(C25:C34)</f>
        <v>154242</v>
      </c>
      <c r="D36" s="30">
        <f>SUM(D25:D34)</f>
        <v>43478</v>
      </c>
      <c r="E36" s="30">
        <f>SUM(E25:E34)</f>
        <v>34301</v>
      </c>
      <c r="F36" s="30">
        <f>SUM(F25:F34)</f>
        <v>90814</v>
      </c>
      <c r="G36" s="39">
        <f>SUM(G25:G34)</f>
        <v>54699</v>
      </c>
      <c r="H36" s="38">
        <f>SUM(H25:H34)</f>
        <v>670751</v>
      </c>
      <c r="I36" s="30">
        <f>SUM(I25:I34)</f>
        <v>5124</v>
      </c>
      <c r="J36" s="31">
        <f>SUM(J25:J34)</f>
        <v>675875</v>
      </c>
    </row>
    <row r="37" spans="1:10" ht="15.5" thickTop="1" thickBot="1" x14ac:dyDescent="0.4">
      <c r="A37" s="9" t="s">
        <v>27</v>
      </c>
      <c r="B37" s="32">
        <f>SUM(B24,B36)</f>
        <v>338526</v>
      </c>
      <c r="C37" s="32">
        <f>SUM(C24,C36)</f>
        <v>191946</v>
      </c>
      <c r="D37" s="32">
        <f>SUM(D24,D36)</f>
        <v>57740</v>
      </c>
      <c r="E37" s="32">
        <f>SUM(E24,E36)</f>
        <v>38719</v>
      </c>
      <c r="F37" s="32">
        <f>SUM(F24,F36)</f>
        <v>106135</v>
      </c>
      <c r="G37" s="33">
        <f>SUM(G24,G36)</f>
        <v>68304</v>
      </c>
      <c r="H37" s="37">
        <f>SUM(H24,H36)</f>
        <v>801370</v>
      </c>
      <c r="I37" s="32">
        <f>SUM(I24,I36)</f>
        <v>6192</v>
      </c>
      <c r="J37" s="36">
        <f>SUM(J24,J36)</f>
        <v>807562</v>
      </c>
    </row>
    <row r="38" spans="1:10" ht="15" thickTop="1" x14ac:dyDescent="0.35">
      <c r="B38" s="10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5" x14ac:dyDescent="0.45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5" x14ac:dyDescent="0.45">
      <c r="A3" s="48" t="s">
        <v>45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" thickBot="1" x14ac:dyDescent="0.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29.5" thickBot="1" x14ac:dyDescent="0.4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7" t="s">
        <v>36</v>
      </c>
      <c r="I6" s="26" t="s">
        <v>39</v>
      </c>
      <c r="J6" s="15" t="s">
        <v>37</v>
      </c>
    </row>
    <row r="7" spans="1:10" ht="15" thickTop="1" x14ac:dyDescent="0.35">
      <c r="A7" s="16" t="s">
        <v>1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28">
        <v>1</v>
      </c>
      <c r="I7" s="4">
        <v>0</v>
      </c>
      <c r="J7" s="17">
        <v>1</v>
      </c>
    </row>
    <row r="8" spans="1:10" x14ac:dyDescent="0.35">
      <c r="A8" s="16" t="s">
        <v>2</v>
      </c>
      <c r="B8" s="34">
        <v>3</v>
      </c>
      <c r="C8" s="34">
        <v>0</v>
      </c>
      <c r="D8" s="34">
        <v>0</v>
      </c>
      <c r="E8" s="34">
        <v>1</v>
      </c>
      <c r="F8" s="34">
        <v>2</v>
      </c>
      <c r="G8" s="34">
        <v>0</v>
      </c>
      <c r="H8" s="28">
        <v>6</v>
      </c>
      <c r="I8" s="3">
        <v>0</v>
      </c>
      <c r="J8" s="17">
        <v>6</v>
      </c>
    </row>
    <row r="9" spans="1:10" x14ac:dyDescent="0.35">
      <c r="A9" s="16" t="s">
        <v>3</v>
      </c>
      <c r="B9" s="34">
        <v>69</v>
      </c>
      <c r="C9" s="34">
        <v>34</v>
      </c>
      <c r="D9" s="34">
        <v>16</v>
      </c>
      <c r="E9" s="34">
        <v>5</v>
      </c>
      <c r="F9" s="34">
        <v>40</v>
      </c>
      <c r="G9" s="34">
        <v>26</v>
      </c>
      <c r="H9" s="28">
        <v>190</v>
      </c>
      <c r="I9" s="3">
        <v>1</v>
      </c>
      <c r="J9" s="17">
        <v>191</v>
      </c>
    </row>
    <row r="10" spans="1:10" x14ac:dyDescent="0.35">
      <c r="A10" s="16" t="s">
        <v>4</v>
      </c>
      <c r="B10" s="34">
        <v>176</v>
      </c>
      <c r="C10" s="34">
        <v>84</v>
      </c>
      <c r="D10" s="34">
        <v>35</v>
      </c>
      <c r="E10" s="34">
        <v>6</v>
      </c>
      <c r="F10" s="34">
        <v>136</v>
      </c>
      <c r="G10" s="34">
        <v>55</v>
      </c>
      <c r="H10" s="28">
        <v>492</v>
      </c>
      <c r="I10" s="3">
        <v>0</v>
      </c>
      <c r="J10" s="17">
        <v>492</v>
      </c>
    </row>
    <row r="11" spans="1:10" x14ac:dyDescent="0.35">
      <c r="A11" s="16" t="s">
        <v>5</v>
      </c>
      <c r="B11" s="35">
        <v>1343</v>
      </c>
      <c r="C11" s="35">
        <v>1900</v>
      </c>
      <c r="D11" s="35">
        <v>1193</v>
      </c>
      <c r="E11" s="34">
        <v>303</v>
      </c>
      <c r="F11" s="35">
        <v>1028</v>
      </c>
      <c r="G11" s="35">
        <v>1008</v>
      </c>
      <c r="H11" s="28">
        <v>6775</v>
      </c>
      <c r="I11" s="3">
        <v>39</v>
      </c>
      <c r="J11" s="17">
        <v>6814</v>
      </c>
    </row>
    <row r="12" spans="1:10" x14ac:dyDescent="0.35">
      <c r="A12" s="16" t="s">
        <v>6</v>
      </c>
      <c r="B12" s="35">
        <v>3568</v>
      </c>
      <c r="C12" s="35">
        <v>4903</v>
      </c>
      <c r="D12" s="35">
        <v>3160</v>
      </c>
      <c r="E12" s="34">
        <v>712</v>
      </c>
      <c r="F12" s="35">
        <v>3943</v>
      </c>
      <c r="G12" s="35">
        <v>3907</v>
      </c>
      <c r="H12" s="28">
        <v>20193</v>
      </c>
      <c r="I12" s="3">
        <v>147</v>
      </c>
      <c r="J12" s="17">
        <v>20340</v>
      </c>
    </row>
    <row r="13" spans="1:10" x14ac:dyDescent="0.35">
      <c r="A13" s="16" t="s">
        <v>7</v>
      </c>
      <c r="B13" s="35">
        <v>6590</v>
      </c>
      <c r="C13" s="35">
        <v>8456</v>
      </c>
      <c r="D13" s="35">
        <v>4868</v>
      </c>
      <c r="E13" s="35">
        <v>1501</v>
      </c>
      <c r="F13" s="35">
        <v>4342</v>
      </c>
      <c r="G13" s="35">
        <v>4962</v>
      </c>
      <c r="H13" s="28">
        <v>30719</v>
      </c>
      <c r="I13" s="3">
        <v>305</v>
      </c>
      <c r="J13" s="17">
        <v>31024</v>
      </c>
    </row>
    <row r="14" spans="1:10" x14ac:dyDescent="0.35">
      <c r="A14" s="16" t="s">
        <v>8</v>
      </c>
      <c r="B14" s="35">
        <v>10364</v>
      </c>
      <c r="C14" s="35">
        <v>10794</v>
      </c>
      <c r="D14" s="35">
        <v>3723</v>
      </c>
      <c r="E14" s="35">
        <v>1058</v>
      </c>
      <c r="F14" s="35">
        <v>3537</v>
      </c>
      <c r="G14" s="35">
        <v>2689</v>
      </c>
      <c r="H14" s="28">
        <v>32165</v>
      </c>
      <c r="I14" s="3">
        <v>339</v>
      </c>
      <c r="J14" s="17">
        <v>32504</v>
      </c>
    </row>
    <row r="15" spans="1:10" x14ac:dyDescent="0.35">
      <c r="A15" s="16" t="s">
        <v>9</v>
      </c>
      <c r="B15" s="35">
        <v>8767</v>
      </c>
      <c r="C15" s="35">
        <v>5583</v>
      </c>
      <c r="D15" s="34">
        <v>592</v>
      </c>
      <c r="E15" s="34">
        <v>350</v>
      </c>
      <c r="F15" s="35">
        <v>1175</v>
      </c>
      <c r="G15" s="34">
        <v>601</v>
      </c>
      <c r="H15" s="28">
        <v>17068</v>
      </c>
      <c r="I15" s="3">
        <v>75</v>
      </c>
      <c r="J15" s="17">
        <v>17143</v>
      </c>
    </row>
    <row r="16" spans="1:10" x14ac:dyDescent="0.35">
      <c r="A16" s="16" t="s">
        <v>10</v>
      </c>
      <c r="B16" s="35">
        <v>5625</v>
      </c>
      <c r="C16" s="35">
        <v>2365</v>
      </c>
      <c r="D16" s="34">
        <v>405</v>
      </c>
      <c r="E16" s="34">
        <v>206</v>
      </c>
      <c r="F16" s="35">
        <v>1076</v>
      </c>
      <c r="G16" s="34">
        <v>323</v>
      </c>
      <c r="H16" s="28">
        <v>10000</v>
      </c>
      <c r="I16" s="3">
        <v>45</v>
      </c>
      <c r="J16" s="17">
        <v>10045</v>
      </c>
    </row>
    <row r="17" spans="1:10" x14ac:dyDescent="0.35">
      <c r="A17" s="16" t="s">
        <v>11</v>
      </c>
      <c r="B17" s="34">
        <v>382</v>
      </c>
      <c r="C17" s="34">
        <v>117</v>
      </c>
      <c r="D17" s="34">
        <v>2</v>
      </c>
      <c r="E17" s="34">
        <v>15</v>
      </c>
      <c r="F17" s="34">
        <v>0</v>
      </c>
      <c r="G17" s="34">
        <v>0</v>
      </c>
      <c r="H17" s="28">
        <v>516</v>
      </c>
      <c r="I17" s="3">
        <v>0</v>
      </c>
      <c r="J17" s="17">
        <v>516</v>
      </c>
    </row>
    <row r="18" spans="1:10" x14ac:dyDescent="0.35">
      <c r="A18" s="16" t="s">
        <v>12</v>
      </c>
      <c r="B18" s="35">
        <v>1315</v>
      </c>
      <c r="C18" s="34">
        <v>527</v>
      </c>
      <c r="D18" s="34">
        <v>27</v>
      </c>
      <c r="E18" s="34">
        <v>36</v>
      </c>
      <c r="F18" s="34">
        <v>0</v>
      </c>
      <c r="G18" s="34">
        <v>0</v>
      </c>
      <c r="H18" s="28">
        <v>1905</v>
      </c>
      <c r="I18" s="3">
        <v>31</v>
      </c>
      <c r="J18" s="17">
        <v>1936</v>
      </c>
    </row>
    <row r="19" spans="1:10" x14ac:dyDescent="0.35">
      <c r="A19" s="16" t="s">
        <v>13</v>
      </c>
      <c r="B19" s="35">
        <v>2310</v>
      </c>
      <c r="C19" s="34">
        <v>1165</v>
      </c>
      <c r="D19" s="34">
        <v>33</v>
      </c>
      <c r="E19" s="34">
        <v>88</v>
      </c>
      <c r="F19" s="34">
        <v>0</v>
      </c>
      <c r="G19" s="34">
        <v>0</v>
      </c>
      <c r="H19" s="28">
        <v>3596</v>
      </c>
      <c r="I19" s="3">
        <v>48</v>
      </c>
      <c r="J19" s="17">
        <v>3644</v>
      </c>
    </row>
    <row r="20" spans="1:10" x14ac:dyDescent="0.35">
      <c r="A20" s="16" t="s">
        <v>14</v>
      </c>
      <c r="B20" s="35">
        <v>3090</v>
      </c>
      <c r="C20" s="35">
        <v>1223</v>
      </c>
      <c r="D20" s="34">
        <v>34</v>
      </c>
      <c r="E20" s="34">
        <v>67</v>
      </c>
      <c r="F20" s="34">
        <v>0</v>
      </c>
      <c r="G20" s="34">
        <v>0</v>
      </c>
      <c r="H20" s="28">
        <v>4414</v>
      </c>
      <c r="I20" s="3">
        <v>33</v>
      </c>
      <c r="J20" s="17">
        <v>4447</v>
      </c>
    </row>
    <row r="21" spans="1:10" x14ac:dyDescent="0.35">
      <c r="A21" s="16" t="s">
        <v>15</v>
      </c>
      <c r="B21" s="35">
        <v>1499</v>
      </c>
      <c r="C21" s="34">
        <v>457</v>
      </c>
      <c r="D21" s="34">
        <v>0</v>
      </c>
      <c r="E21" s="34">
        <v>35</v>
      </c>
      <c r="F21" s="34">
        <v>0</v>
      </c>
      <c r="G21" s="34">
        <v>0</v>
      </c>
      <c r="H21" s="28">
        <v>1991</v>
      </c>
      <c r="I21" s="3">
        <v>0</v>
      </c>
      <c r="J21" s="17">
        <v>1991</v>
      </c>
    </row>
    <row r="22" spans="1:10" x14ac:dyDescent="0.35">
      <c r="A22" s="16" t="s">
        <v>41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28">
        <v>0</v>
      </c>
      <c r="I22" s="3">
        <v>0</v>
      </c>
      <c r="J22" s="17">
        <v>0</v>
      </c>
    </row>
    <row r="23" spans="1:10" ht="15" thickBot="1" x14ac:dyDescent="0.4">
      <c r="A23" s="18"/>
      <c r="B23" s="6"/>
      <c r="C23" s="7"/>
      <c r="D23" s="7"/>
      <c r="E23" s="7"/>
      <c r="F23" s="7"/>
      <c r="G23" s="25"/>
      <c r="H23" s="29"/>
      <c r="I23" s="6" t="s">
        <v>38</v>
      </c>
      <c r="J23" s="19"/>
    </row>
    <row r="24" spans="1:10" ht="15" thickBot="1" x14ac:dyDescent="0.4">
      <c r="A24" s="20" t="s">
        <v>16</v>
      </c>
      <c r="B24" s="30">
        <f>SUM(B7:B22)</f>
        <v>45101</v>
      </c>
      <c r="C24" s="30">
        <f>SUM(C7:C22)</f>
        <v>37608</v>
      </c>
      <c r="D24" s="30">
        <f>SUM(D7:D22)</f>
        <v>14088</v>
      </c>
      <c r="E24" s="30">
        <f>SUM(E7:E22)</f>
        <v>4383</v>
      </c>
      <c r="F24" s="30">
        <f>SUM(F7:F22)</f>
        <v>15280</v>
      </c>
      <c r="G24" s="39">
        <f>SUM(G7:G22)</f>
        <v>13571</v>
      </c>
      <c r="H24" s="38">
        <f>SUM(H7:H22)</f>
        <v>130031</v>
      </c>
      <c r="I24" s="30">
        <f>SUM(I7:I22)</f>
        <v>1063</v>
      </c>
      <c r="J24" s="31">
        <f>SUM(J7:J22)</f>
        <v>131094</v>
      </c>
    </row>
    <row r="25" spans="1:10" x14ac:dyDescent="0.35">
      <c r="A25" s="16" t="s">
        <v>17</v>
      </c>
      <c r="B25" s="4">
        <v>2066</v>
      </c>
      <c r="C25" s="5">
        <v>1492</v>
      </c>
      <c r="D25" s="5">
        <v>349</v>
      </c>
      <c r="E25" s="5">
        <v>170</v>
      </c>
      <c r="F25" s="5">
        <v>1986</v>
      </c>
      <c r="G25" s="23">
        <v>964</v>
      </c>
      <c r="H25" s="28">
        <v>7027</v>
      </c>
      <c r="I25" s="4">
        <v>74</v>
      </c>
      <c r="J25" s="21">
        <v>7101</v>
      </c>
    </row>
    <row r="26" spans="1:10" x14ac:dyDescent="0.35">
      <c r="A26" s="16" t="s">
        <v>18</v>
      </c>
      <c r="B26" s="3">
        <v>7126</v>
      </c>
      <c r="C26" s="2">
        <v>5528</v>
      </c>
      <c r="D26" s="2">
        <v>972</v>
      </c>
      <c r="E26" s="2">
        <v>474</v>
      </c>
      <c r="F26" s="2">
        <v>4421</v>
      </c>
      <c r="G26" s="24">
        <v>2870</v>
      </c>
      <c r="H26" s="28">
        <v>21391</v>
      </c>
      <c r="I26" s="3">
        <v>130</v>
      </c>
      <c r="J26" s="21">
        <v>21521</v>
      </c>
    </row>
    <row r="27" spans="1:10" x14ac:dyDescent="0.35">
      <c r="A27" s="16" t="s">
        <v>19</v>
      </c>
      <c r="B27" s="3">
        <v>18434</v>
      </c>
      <c r="C27" s="2">
        <v>13935</v>
      </c>
      <c r="D27" s="2">
        <v>3792</v>
      </c>
      <c r="E27" s="2">
        <v>1081</v>
      </c>
      <c r="F27" s="2">
        <v>15217</v>
      </c>
      <c r="G27" s="24">
        <v>8247</v>
      </c>
      <c r="H27" s="28">
        <v>60706</v>
      </c>
      <c r="I27" s="3">
        <v>665</v>
      </c>
      <c r="J27" s="21">
        <v>61371</v>
      </c>
    </row>
    <row r="28" spans="1:10" x14ac:dyDescent="0.35">
      <c r="A28" s="16" t="s">
        <v>20</v>
      </c>
      <c r="B28" s="3">
        <v>35026</v>
      </c>
      <c r="C28" s="2">
        <v>19187</v>
      </c>
      <c r="D28" s="2">
        <v>10713</v>
      </c>
      <c r="E28" s="2">
        <v>1939</v>
      </c>
      <c r="F28" s="2">
        <v>19231</v>
      </c>
      <c r="G28" s="24">
        <v>12402</v>
      </c>
      <c r="H28" s="28">
        <v>98498</v>
      </c>
      <c r="I28" s="3">
        <v>1511</v>
      </c>
      <c r="J28" s="21">
        <v>100009</v>
      </c>
    </row>
    <row r="29" spans="1:10" x14ac:dyDescent="0.35">
      <c r="A29" s="16" t="s">
        <v>21</v>
      </c>
      <c r="B29" s="3">
        <v>60717</v>
      </c>
      <c r="C29" s="2">
        <v>32317</v>
      </c>
      <c r="D29" s="2">
        <v>14174</v>
      </c>
      <c r="E29" s="2">
        <v>4810</v>
      </c>
      <c r="F29" s="2">
        <v>21019</v>
      </c>
      <c r="G29" s="24">
        <v>12530</v>
      </c>
      <c r="H29" s="28">
        <v>145567</v>
      </c>
      <c r="I29" s="3">
        <v>1645</v>
      </c>
      <c r="J29" s="21">
        <v>147212</v>
      </c>
    </row>
    <row r="30" spans="1:10" x14ac:dyDescent="0.35">
      <c r="A30" s="16" t="s">
        <v>22</v>
      </c>
      <c r="B30" s="3">
        <v>102546</v>
      </c>
      <c r="C30" s="2">
        <v>52380</v>
      </c>
      <c r="D30" s="2">
        <v>7720</v>
      </c>
      <c r="E30" s="2">
        <v>6444</v>
      </c>
      <c r="F30" s="2">
        <v>15272</v>
      </c>
      <c r="G30" s="24">
        <v>12146</v>
      </c>
      <c r="H30" s="28">
        <v>196508</v>
      </c>
      <c r="I30" s="3">
        <v>982</v>
      </c>
      <c r="J30" s="21">
        <v>197490</v>
      </c>
    </row>
    <row r="31" spans="1:10" x14ac:dyDescent="0.35">
      <c r="A31" s="16" t="s">
        <v>23</v>
      </c>
      <c r="B31" s="3">
        <v>34261</v>
      </c>
      <c r="C31" s="2">
        <v>14802</v>
      </c>
      <c r="D31" s="2">
        <v>3767</v>
      </c>
      <c r="E31" s="2">
        <v>14421</v>
      </c>
      <c r="F31" s="2">
        <v>12101</v>
      </c>
      <c r="G31" s="24">
        <v>3715</v>
      </c>
      <c r="H31" s="28">
        <v>83067</v>
      </c>
      <c r="I31" s="3">
        <v>102</v>
      </c>
      <c r="J31" s="21">
        <v>83169</v>
      </c>
    </row>
    <row r="32" spans="1:10" x14ac:dyDescent="0.35">
      <c r="A32" s="16" t="s">
        <v>24</v>
      </c>
      <c r="B32" s="3">
        <v>18035</v>
      </c>
      <c r="C32" s="2">
        <v>7194</v>
      </c>
      <c r="D32" s="2">
        <v>1306</v>
      </c>
      <c r="E32" s="2">
        <v>3579</v>
      </c>
      <c r="F32" s="2">
        <v>572</v>
      </c>
      <c r="G32" s="24">
        <v>643</v>
      </c>
      <c r="H32" s="28">
        <v>31329</v>
      </c>
      <c r="I32" s="3">
        <v>0</v>
      </c>
      <c r="J32" s="21">
        <v>31329</v>
      </c>
    </row>
    <row r="33" spans="1:10" x14ac:dyDescent="0.35">
      <c r="A33" s="16" t="s">
        <v>25</v>
      </c>
      <c r="B33" s="2">
        <v>14238</v>
      </c>
      <c r="C33" s="2">
        <v>6795</v>
      </c>
      <c r="D33" s="2">
        <v>771</v>
      </c>
      <c r="E33" s="2">
        <v>1409</v>
      </c>
      <c r="F33" s="2">
        <v>1344</v>
      </c>
      <c r="G33" s="24">
        <v>1189</v>
      </c>
      <c r="H33" s="28">
        <v>25746</v>
      </c>
      <c r="I33" s="3">
        <v>0</v>
      </c>
      <c r="J33" s="21">
        <v>25746</v>
      </c>
    </row>
    <row r="34" spans="1:10" x14ac:dyDescent="0.35">
      <c r="A34" s="16" t="s">
        <v>40</v>
      </c>
      <c r="B34" s="34">
        <v>0</v>
      </c>
      <c r="C34" s="34">
        <v>0</v>
      </c>
      <c r="D34" s="34">
        <v>0</v>
      </c>
      <c r="E34" s="34">
        <v>0</v>
      </c>
      <c r="F34" s="34">
        <v>1</v>
      </c>
      <c r="G34" s="34">
        <v>0</v>
      </c>
      <c r="H34" s="28">
        <v>1</v>
      </c>
      <c r="I34" s="3">
        <v>0</v>
      </c>
      <c r="J34" s="17">
        <v>1</v>
      </c>
    </row>
    <row r="35" spans="1:10" ht="15" thickBot="1" x14ac:dyDescent="0.4">
      <c r="A35" s="16"/>
      <c r="B35" s="8"/>
      <c r="C35" s="41"/>
      <c r="D35" s="41"/>
      <c r="E35" s="41"/>
      <c r="F35" s="41"/>
      <c r="G35" s="40"/>
      <c r="H35" s="28"/>
      <c r="I35" s="3"/>
      <c r="J35" s="21"/>
    </row>
    <row r="36" spans="1:10" ht="15" thickBot="1" x14ac:dyDescent="0.4">
      <c r="A36" s="20" t="s">
        <v>26</v>
      </c>
      <c r="B36" s="30">
        <f>SUM(B25:B34)</f>
        <v>292449</v>
      </c>
      <c r="C36" s="30">
        <f>SUM(C25:C34)</f>
        <v>153630</v>
      </c>
      <c r="D36" s="30">
        <f>SUM(D25:D34)</f>
        <v>43564</v>
      </c>
      <c r="E36" s="30">
        <f>SUM(E25:E34)</f>
        <v>34327</v>
      </c>
      <c r="F36" s="30">
        <f>SUM(F25:F34)</f>
        <v>91164</v>
      </c>
      <c r="G36" s="39">
        <f>SUM(G25:G34)</f>
        <v>54706</v>
      </c>
      <c r="H36" s="38">
        <f>SUM(H25:H34)</f>
        <v>669840</v>
      </c>
      <c r="I36" s="30">
        <f>SUM(I25:I34)</f>
        <v>5109</v>
      </c>
      <c r="J36" s="31">
        <f>SUM(J25:J34)</f>
        <v>674949</v>
      </c>
    </row>
    <row r="37" spans="1:10" ht="15.5" thickTop="1" thickBot="1" x14ac:dyDescent="0.4">
      <c r="A37" s="9" t="s">
        <v>27</v>
      </c>
      <c r="B37" s="32">
        <f>SUM(B24,B36)</f>
        <v>337550</v>
      </c>
      <c r="C37" s="32">
        <f>SUM(C24,C36)</f>
        <v>191238</v>
      </c>
      <c r="D37" s="32">
        <f>SUM(D24,D36)</f>
        <v>57652</v>
      </c>
      <c r="E37" s="32">
        <f>SUM(E24,E36)</f>
        <v>38710</v>
      </c>
      <c r="F37" s="32">
        <f>SUM(F24,F36)</f>
        <v>106444</v>
      </c>
      <c r="G37" s="33">
        <f>SUM(G24,G36)</f>
        <v>68277</v>
      </c>
      <c r="H37" s="37">
        <f>SUM(H24,H36)</f>
        <v>799871</v>
      </c>
      <c r="I37" s="32">
        <f>SUM(I24,I36)</f>
        <v>6172</v>
      </c>
      <c r="J37" s="36">
        <f>SUM(J24,J36)</f>
        <v>806043</v>
      </c>
    </row>
    <row r="38" spans="1:10" ht="15" thickTop="1" x14ac:dyDescent="0.35">
      <c r="B38" s="10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20" sqref="A20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5" x14ac:dyDescent="0.45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5" x14ac:dyDescent="0.45">
      <c r="A3" s="48" t="s">
        <v>47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" thickBot="1" x14ac:dyDescent="0.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29.5" thickBot="1" x14ac:dyDescent="0.4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7" t="s">
        <v>36</v>
      </c>
      <c r="I6" s="26" t="s">
        <v>39</v>
      </c>
      <c r="J6" s="15" t="s">
        <v>37</v>
      </c>
    </row>
    <row r="7" spans="1:10" ht="15" thickTop="1" x14ac:dyDescent="0.35">
      <c r="A7" s="16" t="s">
        <v>1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28">
        <v>1</v>
      </c>
      <c r="I7" s="4">
        <v>0</v>
      </c>
      <c r="J7" s="17">
        <v>1</v>
      </c>
    </row>
    <row r="8" spans="1:10" x14ac:dyDescent="0.35">
      <c r="A8" s="16" t="s">
        <v>2</v>
      </c>
      <c r="B8" s="34">
        <v>3</v>
      </c>
      <c r="C8" s="34">
        <v>0</v>
      </c>
      <c r="D8" s="34">
        <v>0</v>
      </c>
      <c r="E8" s="34">
        <v>1</v>
      </c>
      <c r="F8" s="34">
        <v>2</v>
      </c>
      <c r="G8" s="34">
        <v>0</v>
      </c>
      <c r="H8" s="28">
        <v>6</v>
      </c>
      <c r="I8" s="3">
        <v>0</v>
      </c>
      <c r="J8" s="17">
        <v>6</v>
      </c>
    </row>
    <row r="9" spans="1:10" x14ac:dyDescent="0.35">
      <c r="A9" s="16" t="s">
        <v>3</v>
      </c>
      <c r="B9" s="34">
        <v>69</v>
      </c>
      <c r="C9" s="34">
        <v>34</v>
      </c>
      <c r="D9" s="34">
        <v>16</v>
      </c>
      <c r="E9" s="34">
        <v>5</v>
      </c>
      <c r="F9" s="34">
        <v>42</v>
      </c>
      <c r="G9" s="34">
        <v>26</v>
      </c>
      <c r="H9" s="28">
        <v>192</v>
      </c>
      <c r="I9" s="3">
        <v>1</v>
      </c>
      <c r="J9" s="17">
        <v>193</v>
      </c>
    </row>
    <row r="10" spans="1:10" x14ac:dyDescent="0.35">
      <c r="A10" s="16" t="s">
        <v>4</v>
      </c>
      <c r="B10" s="34">
        <v>168</v>
      </c>
      <c r="C10" s="34">
        <v>83</v>
      </c>
      <c r="D10" s="34">
        <v>35</v>
      </c>
      <c r="E10" s="34">
        <v>6</v>
      </c>
      <c r="F10" s="34">
        <v>131</v>
      </c>
      <c r="G10" s="34">
        <v>56</v>
      </c>
      <c r="H10" s="28">
        <v>479</v>
      </c>
      <c r="I10" s="3">
        <v>0</v>
      </c>
      <c r="J10" s="17">
        <v>479</v>
      </c>
    </row>
    <row r="11" spans="1:10" x14ac:dyDescent="0.35">
      <c r="A11" s="16" t="s">
        <v>5</v>
      </c>
      <c r="B11" s="35">
        <v>1332</v>
      </c>
      <c r="C11" s="35">
        <v>1901</v>
      </c>
      <c r="D11" s="35">
        <v>1194</v>
      </c>
      <c r="E11" s="34">
        <v>303</v>
      </c>
      <c r="F11" s="35">
        <v>1024</v>
      </c>
      <c r="G11" s="35">
        <v>1015</v>
      </c>
      <c r="H11" s="28">
        <v>6769</v>
      </c>
      <c r="I11" s="3">
        <v>38</v>
      </c>
      <c r="J11" s="17">
        <v>6807</v>
      </c>
    </row>
    <row r="12" spans="1:10" x14ac:dyDescent="0.35">
      <c r="A12" s="16" t="s">
        <v>6</v>
      </c>
      <c r="B12" s="35">
        <v>3566</v>
      </c>
      <c r="C12" s="35">
        <v>4884</v>
      </c>
      <c r="D12" s="35">
        <v>3163</v>
      </c>
      <c r="E12" s="34">
        <v>713</v>
      </c>
      <c r="F12" s="35">
        <v>3924</v>
      </c>
      <c r="G12" s="35">
        <v>3874</v>
      </c>
      <c r="H12" s="28">
        <v>20124</v>
      </c>
      <c r="I12" s="3">
        <v>148</v>
      </c>
      <c r="J12" s="17">
        <v>20272</v>
      </c>
    </row>
    <row r="13" spans="1:10" x14ac:dyDescent="0.35">
      <c r="A13" s="16" t="s">
        <v>7</v>
      </c>
      <c r="B13" s="35">
        <v>6623</v>
      </c>
      <c r="C13" s="35">
        <v>8592</v>
      </c>
      <c r="D13" s="35">
        <v>4868</v>
      </c>
      <c r="E13" s="35">
        <v>1504</v>
      </c>
      <c r="F13" s="35">
        <v>4333</v>
      </c>
      <c r="G13" s="35">
        <v>4958</v>
      </c>
      <c r="H13" s="28">
        <v>30878</v>
      </c>
      <c r="I13" s="3">
        <v>304</v>
      </c>
      <c r="J13" s="17">
        <v>31182</v>
      </c>
    </row>
    <row r="14" spans="1:10" x14ac:dyDescent="0.35">
      <c r="A14" s="16" t="s">
        <v>8</v>
      </c>
      <c r="B14" s="35">
        <v>10470</v>
      </c>
      <c r="C14" s="35">
        <v>10858</v>
      </c>
      <c r="D14" s="35">
        <v>3700</v>
      </c>
      <c r="E14" s="35">
        <v>1050</v>
      </c>
      <c r="F14" s="35">
        <v>3674</v>
      </c>
      <c r="G14" s="35">
        <v>2719</v>
      </c>
      <c r="H14" s="28">
        <v>32471</v>
      </c>
      <c r="I14" s="3">
        <v>336</v>
      </c>
      <c r="J14" s="17">
        <v>32807</v>
      </c>
    </row>
    <row r="15" spans="1:10" x14ac:dyDescent="0.35">
      <c r="A15" s="16" t="s">
        <v>9</v>
      </c>
      <c r="B15" s="35">
        <v>8491</v>
      </c>
      <c r="C15" s="35">
        <v>5530</v>
      </c>
      <c r="D15" s="34">
        <v>586</v>
      </c>
      <c r="E15" s="34">
        <v>349</v>
      </c>
      <c r="F15" s="35">
        <v>1067</v>
      </c>
      <c r="G15" s="34">
        <v>581</v>
      </c>
      <c r="H15" s="28">
        <v>16604</v>
      </c>
      <c r="I15" s="3">
        <v>77</v>
      </c>
      <c r="J15" s="17">
        <v>16681</v>
      </c>
    </row>
    <row r="16" spans="1:10" x14ac:dyDescent="0.35">
      <c r="A16" s="16" t="s">
        <v>10</v>
      </c>
      <c r="B16" s="35">
        <v>5711</v>
      </c>
      <c r="C16" s="35">
        <v>2255</v>
      </c>
      <c r="D16" s="34">
        <v>395</v>
      </c>
      <c r="E16" s="34">
        <v>207</v>
      </c>
      <c r="F16" s="35">
        <v>1075</v>
      </c>
      <c r="G16" s="34">
        <v>329</v>
      </c>
      <c r="H16" s="28">
        <v>9972</v>
      </c>
      <c r="I16" s="3">
        <v>41</v>
      </c>
      <c r="J16" s="17">
        <v>10013</v>
      </c>
    </row>
    <row r="17" spans="1:10" x14ac:dyDescent="0.35">
      <c r="A17" s="16" t="s">
        <v>11</v>
      </c>
      <c r="B17" s="34">
        <v>375</v>
      </c>
      <c r="C17" s="34">
        <v>120</v>
      </c>
      <c r="D17" s="34">
        <v>2</v>
      </c>
      <c r="E17" s="34">
        <v>15</v>
      </c>
      <c r="F17" s="34">
        <v>0</v>
      </c>
      <c r="G17" s="34">
        <v>0</v>
      </c>
      <c r="H17" s="28">
        <v>512</v>
      </c>
      <c r="I17" s="3">
        <v>0</v>
      </c>
      <c r="J17" s="17">
        <v>512</v>
      </c>
    </row>
    <row r="18" spans="1:10" x14ac:dyDescent="0.35">
      <c r="A18" s="16" t="s">
        <v>12</v>
      </c>
      <c r="B18" s="35">
        <v>1319</v>
      </c>
      <c r="C18" s="34">
        <v>529</v>
      </c>
      <c r="D18" s="34">
        <v>26</v>
      </c>
      <c r="E18" s="34">
        <v>38</v>
      </c>
      <c r="F18" s="34">
        <v>0</v>
      </c>
      <c r="G18" s="34">
        <v>0</v>
      </c>
      <c r="H18" s="28">
        <v>1912</v>
      </c>
      <c r="I18" s="3">
        <v>30</v>
      </c>
      <c r="J18" s="17">
        <v>1942</v>
      </c>
    </row>
    <row r="19" spans="1:10" x14ac:dyDescent="0.35">
      <c r="A19" s="16" t="s">
        <v>13</v>
      </c>
      <c r="B19" s="35">
        <v>2303</v>
      </c>
      <c r="C19" s="34">
        <v>1170</v>
      </c>
      <c r="D19" s="34">
        <v>33</v>
      </c>
      <c r="E19" s="34">
        <v>86</v>
      </c>
      <c r="F19" s="34">
        <v>0</v>
      </c>
      <c r="G19" s="34">
        <v>0</v>
      </c>
      <c r="H19" s="28">
        <v>3592</v>
      </c>
      <c r="I19" s="3">
        <v>49</v>
      </c>
      <c r="J19" s="17">
        <v>3641</v>
      </c>
    </row>
    <row r="20" spans="1:10" x14ac:dyDescent="0.35">
      <c r="A20" s="16" t="s">
        <v>14</v>
      </c>
      <c r="B20" s="35">
        <v>3162</v>
      </c>
      <c r="C20" s="35">
        <v>1214</v>
      </c>
      <c r="D20" s="34">
        <v>36</v>
      </c>
      <c r="E20" s="34">
        <v>67</v>
      </c>
      <c r="F20" s="34">
        <v>0</v>
      </c>
      <c r="G20" s="34">
        <v>0</v>
      </c>
      <c r="H20" s="28">
        <v>4479</v>
      </c>
      <c r="I20" s="3">
        <v>32</v>
      </c>
      <c r="J20" s="17">
        <v>4511</v>
      </c>
    </row>
    <row r="21" spans="1:10" x14ac:dyDescent="0.35">
      <c r="A21" s="16" t="s">
        <v>15</v>
      </c>
      <c r="B21" s="35">
        <v>1422</v>
      </c>
      <c r="C21" s="34">
        <v>465</v>
      </c>
      <c r="D21" s="34">
        <v>0</v>
      </c>
      <c r="E21" s="34">
        <v>50</v>
      </c>
      <c r="F21" s="34">
        <v>0</v>
      </c>
      <c r="G21" s="34">
        <v>0</v>
      </c>
      <c r="H21" s="28">
        <v>1937</v>
      </c>
      <c r="I21" s="3">
        <v>0</v>
      </c>
      <c r="J21" s="17">
        <v>1937</v>
      </c>
    </row>
    <row r="22" spans="1:10" x14ac:dyDescent="0.35">
      <c r="A22" s="16" t="s">
        <v>41</v>
      </c>
      <c r="B22" s="34">
        <v>0</v>
      </c>
      <c r="C22" s="34">
        <v>0</v>
      </c>
      <c r="D22" s="34">
        <v>0</v>
      </c>
      <c r="E22" s="34">
        <v>0</v>
      </c>
      <c r="F22" s="34">
        <v>2</v>
      </c>
      <c r="G22" s="34">
        <v>0</v>
      </c>
      <c r="H22" s="28">
        <v>2</v>
      </c>
      <c r="I22" s="3">
        <v>0</v>
      </c>
      <c r="J22" s="17">
        <v>2</v>
      </c>
    </row>
    <row r="23" spans="1:10" ht="15" thickBot="1" x14ac:dyDescent="0.4">
      <c r="A23" s="18"/>
      <c r="B23" s="6"/>
      <c r="C23" s="7"/>
      <c r="D23" s="7"/>
      <c r="E23" s="7"/>
      <c r="F23" s="7"/>
      <c r="G23" s="25"/>
      <c r="H23" s="29"/>
      <c r="I23" s="6" t="s">
        <v>38</v>
      </c>
      <c r="J23" s="19"/>
    </row>
    <row r="24" spans="1:10" ht="15" thickBot="1" x14ac:dyDescent="0.4">
      <c r="A24" s="20" t="s">
        <v>16</v>
      </c>
      <c r="B24" s="30">
        <f>SUM(B7:B22)</f>
        <v>45014</v>
      </c>
      <c r="C24" s="30">
        <f>SUM(C7:C22)</f>
        <v>37635</v>
      </c>
      <c r="D24" s="30">
        <f>SUM(D7:D22)</f>
        <v>14054</v>
      </c>
      <c r="E24" s="30">
        <f>SUM(E7:E22)</f>
        <v>4394</v>
      </c>
      <c r="F24" s="30">
        <f>SUM(F7:F22)</f>
        <v>15275</v>
      </c>
      <c r="G24" s="39">
        <f>SUM(G7:G22)</f>
        <v>13558</v>
      </c>
      <c r="H24" s="38">
        <f>SUM(H7:H22)</f>
        <v>129930</v>
      </c>
      <c r="I24" s="30">
        <f>SUM(I7:I22)</f>
        <v>1056</v>
      </c>
      <c r="J24" s="31">
        <f>SUM(J7:J22)</f>
        <v>130986</v>
      </c>
    </row>
    <row r="25" spans="1:10" x14ac:dyDescent="0.35">
      <c r="A25" s="16" t="s">
        <v>17</v>
      </c>
      <c r="B25" s="4">
        <v>2057</v>
      </c>
      <c r="C25" s="5">
        <v>1482</v>
      </c>
      <c r="D25" s="5">
        <v>351</v>
      </c>
      <c r="E25" s="5">
        <v>168</v>
      </c>
      <c r="F25" s="5">
        <v>1987</v>
      </c>
      <c r="G25" s="23">
        <v>964</v>
      </c>
      <c r="H25" s="28">
        <v>7009</v>
      </c>
      <c r="I25" s="4">
        <v>74</v>
      </c>
      <c r="J25" s="21">
        <v>7083</v>
      </c>
    </row>
    <row r="26" spans="1:10" x14ac:dyDescent="0.35">
      <c r="A26" s="16" t="s">
        <v>18</v>
      </c>
      <c r="B26" s="3">
        <v>7143</v>
      </c>
      <c r="C26" s="2">
        <v>5503</v>
      </c>
      <c r="D26" s="2">
        <v>975</v>
      </c>
      <c r="E26" s="2">
        <v>469</v>
      </c>
      <c r="F26" s="2">
        <v>4458</v>
      </c>
      <c r="G26" s="24">
        <v>2865</v>
      </c>
      <c r="H26" s="28">
        <v>21413</v>
      </c>
      <c r="I26" s="3">
        <v>130</v>
      </c>
      <c r="J26" s="21">
        <v>21543</v>
      </c>
    </row>
    <row r="27" spans="1:10" x14ac:dyDescent="0.35">
      <c r="A27" s="16" t="s">
        <v>19</v>
      </c>
      <c r="B27" s="3">
        <v>18321</v>
      </c>
      <c r="C27" s="2">
        <v>13843</v>
      </c>
      <c r="D27" s="2">
        <v>3784</v>
      </c>
      <c r="E27" s="2">
        <v>1081</v>
      </c>
      <c r="F27" s="2">
        <v>15186</v>
      </c>
      <c r="G27" s="24">
        <v>8264</v>
      </c>
      <c r="H27" s="28">
        <v>60479</v>
      </c>
      <c r="I27" s="3">
        <v>664</v>
      </c>
      <c r="J27" s="21">
        <v>61143</v>
      </c>
    </row>
    <row r="28" spans="1:10" x14ac:dyDescent="0.35">
      <c r="A28" s="16" t="s">
        <v>20</v>
      </c>
      <c r="B28" s="3">
        <v>34874</v>
      </c>
      <c r="C28" s="2">
        <v>19115</v>
      </c>
      <c r="D28" s="2">
        <v>10746</v>
      </c>
      <c r="E28" s="2">
        <v>1926</v>
      </c>
      <c r="F28" s="2">
        <v>19326</v>
      </c>
      <c r="G28" s="24">
        <v>12412</v>
      </c>
      <c r="H28" s="28">
        <v>98399</v>
      </c>
      <c r="I28" s="3">
        <v>1514</v>
      </c>
      <c r="J28" s="21">
        <v>99913</v>
      </c>
    </row>
    <row r="29" spans="1:10" x14ac:dyDescent="0.35">
      <c r="A29" s="16" t="s">
        <v>21</v>
      </c>
      <c r="B29" s="3">
        <v>60687</v>
      </c>
      <c r="C29" s="2">
        <v>32399</v>
      </c>
      <c r="D29" s="2">
        <v>14290</v>
      </c>
      <c r="E29" s="2">
        <v>4668</v>
      </c>
      <c r="F29" s="2">
        <v>21049</v>
      </c>
      <c r="G29" s="24">
        <v>12517</v>
      </c>
      <c r="H29" s="28">
        <v>145610</v>
      </c>
      <c r="I29" s="3">
        <v>1651</v>
      </c>
      <c r="J29" s="21">
        <v>147261</v>
      </c>
    </row>
    <row r="30" spans="1:10" x14ac:dyDescent="0.35">
      <c r="A30" s="16" t="s">
        <v>22</v>
      </c>
      <c r="B30" s="3">
        <v>102384</v>
      </c>
      <c r="C30" s="2">
        <v>52084</v>
      </c>
      <c r="D30" s="2">
        <v>7743</v>
      </c>
      <c r="E30" s="2">
        <v>6345</v>
      </c>
      <c r="F30" s="2">
        <v>15221</v>
      </c>
      <c r="G30" s="24">
        <v>12066</v>
      </c>
      <c r="H30" s="28">
        <v>195843</v>
      </c>
      <c r="I30" s="3">
        <v>962</v>
      </c>
      <c r="J30" s="21">
        <v>196805</v>
      </c>
    </row>
    <row r="31" spans="1:10" x14ac:dyDescent="0.35">
      <c r="A31" s="16" t="s">
        <v>23</v>
      </c>
      <c r="B31" s="3">
        <v>34177</v>
      </c>
      <c r="C31" s="2">
        <v>14638</v>
      </c>
      <c r="D31" s="2">
        <v>3724</v>
      </c>
      <c r="E31" s="2">
        <v>14560</v>
      </c>
      <c r="F31" s="2">
        <v>11991</v>
      </c>
      <c r="G31" s="24">
        <v>3722</v>
      </c>
      <c r="H31" s="28">
        <v>82812</v>
      </c>
      <c r="I31" s="3">
        <v>91</v>
      </c>
      <c r="J31" s="21">
        <v>82903</v>
      </c>
    </row>
    <row r="32" spans="1:10" x14ac:dyDescent="0.35">
      <c r="A32" s="16" t="s">
        <v>24</v>
      </c>
      <c r="B32" s="3">
        <v>17719</v>
      </c>
      <c r="C32" s="2">
        <v>7400</v>
      </c>
      <c r="D32" s="2">
        <v>1289</v>
      </c>
      <c r="E32" s="2">
        <v>3720</v>
      </c>
      <c r="F32" s="2">
        <v>601</v>
      </c>
      <c r="G32" s="24">
        <v>650</v>
      </c>
      <c r="H32" s="28">
        <v>31379</v>
      </c>
      <c r="I32" s="3">
        <v>0</v>
      </c>
      <c r="J32" s="21">
        <v>31379</v>
      </c>
    </row>
    <row r="33" spans="1:10" x14ac:dyDescent="0.35">
      <c r="A33" s="16" t="s">
        <v>25</v>
      </c>
      <c r="B33" s="2">
        <v>14503</v>
      </c>
      <c r="C33" s="2">
        <v>6600</v>
      </c>
      <c r="D33" s="2">
        <v>694</v>
      </c>
      <c r="E33" s="2">
        <v>1142</v>
      </c>
      <c r="F33" s="2">
        <v>1454</v>
      </c>
      <c r="G33" s="24">
        <v>1198</v>
      </c>
      <c r="H33" s="28">
        <v>25591</v>
      </c>
      <c r="I33" s="3">
        <v>0</v>
      </c>
      <c r="J33" s="21">
        <v>25591</v>
      </c>
    </row>
    <row r="34" spans="1:10" x14ac:dyDescent="0.35">
      <c r="A34" s="16" t="s">
        <v>40</v>
      </c>
      <c r="B34" s="34">
        <v>0</v>
      </c>
      <c r="C34" s="34">
        <v>0</v>
      </c>
      <c r="D34" s="34">
        <v>0</v>
      </c>
      <c r="E34" s="34">
        <v>0</v>
      </c>
      <c r="F34" s="34">
        <v>1</v>
      </c>
      <c r="G34" s="34">
        <v>0</v>
      </c>
      <c r="H34" s="28">
        <v>1</v>
      </c>
      <c r="I34" s="3">
        <v>0</v>
      </c>
      <c r="J34" s="17">
        <v>1</v>
      </c>
    </row>
    <row r="35" spans="1:10" ht="15" thickBot="1" x14ac:dyDescent="0.4">
      <c r="A35" s="16"/>
      <c r="B35" s="8"/>
      <c r="C35" s="41"/>
      <c r="D35" s="41"/>
      <c r="E35" s="41"/>
      <c r="F35" s="41"/>
      <c r="G35" s="40"/>
      <c r="H35" s="28"/>
      <c r="I35" s="3"/>
      <c r="J35" s="21"/>
    </row>
    <row r="36" spans="1:10" ht="15" thickBot="1" x14ac:dyDescent="0.4">
      <c r="A36" s="20" t="s">
        <v>26</v>
      </c>
      <c r="B36" s="30">
        <f>SUM(B25:B34)</f>
        <v>291865</v>
      </c>
      <c r="C36" s="30">
        <f>SUM(C25:C34)</f>
        <v>153064</v>
      </c>
      <c r="D36" s="30">
        <f>SUM(D25:D34)</f>
        <v>43596</v>
      </c>
      <c r="E36" s="30">
        <f>SUM(E25:E34)</f>
        <v>34079</v>
      </c>
      <c r="F36" s="30">
        <f>SUM(F25:F34)</f>
        <v>91274</v>
      </c>
      <c r="G36" s="39">
        <f>SUM(G25:G34)</f>
        <v>54658</v>
      </c>
      <c r="H36" s="38">
        <f>SUM(H25:H34)</f>
        <v>668536</v>
      </c>
      <c r="I36" s="30">
        <f>SUM(I25:I34)</f>
        <v>5086</v>
      </c>
      <c r="J36" s="31">
        <f>SUM(J25:J34)</f>
        <v>673622</v>
      </c>
    </row>
    <row r="37" spans="1:10" ht="15.5" thickTop="1" thickBot="1" x14ac:dyDescent="0.4">
      <c r="A37" s="9" t="s">
        <v>27</v>
      </c>
      <c r="B37" s="32">
        <f>SUM(B24,B36)</f>
        <v>336879</v>
      </c>
      <c r="C37" s="32">
        <f>SUM(C24,C36)</f>
        <v>190699</v>
      </c>
      <c r="D37" s="32">
        <f>SUM(D24,D36)</f>
        <v>57650</v>
      </c>
      <c r="E37" s="32">
        <f>SUM(E24,E36)</f>
        <v>38473</v>
      </c>
      <c r="F37" s="32">
        <f>SUM(F24,F36)</f>
        <v>106549</v>
      </c>
      <c r="G37" s="33">
        <f>SUM(G24,G36)</f>
        <v>68216</v>
      </c>
      <c r="H37" s="37">
        <f>SUM(H24,H36)</f>
        <v>798466</v>
      </c>
      <c r="I37" s="32">
        <f>SUM(I24,I36)</f>
        <v>6142</v>
      </c>
      <c r="J37" s="36">
        <f>SUM(J24,J36)</f>
        <v>804608</v>
      </c>
    </row>
    <row r="38" spans="1:10" ht="15" thickTop="1" x14ac:dyDescent="0.35">
      <c r="B38" s="10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sqref="A1:J1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5" x14ac:dyDescent="0.45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5" x14ac:dyDescent="0.45">
      <c r="A3" s="48" t="s">
        <v>48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" thickBot="1" x14ac:dyDescent="0.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29.5" thickBot="1" x14ac:dyDescent="0.4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7" t="s">
        <v>36</v>
      </c>
      <c r="I6" s="26" t="s">
        <v>39</v>
      </c>
      <c r="J6" s="15" t="s">
        <v>37</v>
      </c>
    </row>
    <row r="7" spans="1:10" ht="15" thickTop="1" x14ac:dyDescent="0.35">
      <c r="A7" s="16" t="s">
        <v>1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28">
        <v>1</v>
      </c>
      <c r="I7" s="4">
        <v>0</v>
      </c>
      <c r="J7" s="17">
        <v>1</v>
      </c>
    </row>
    <row r="8" spans="1:10" x14ac:dyDescent="0.35">
      <c r="A8" s="16" t="s">
        <v>2</v>
      </c>
      <c r="B8" s="34">
        <v>3</v>
      </c>
      <c r="C8" s="34">
        <v>0</v>
      </c>
      <c r="D8" s="34">
        <v>0</v>
      </c>
      <c r="E8" s="34">
        <v>1</v>
      </c>
      <c r="F8" s="34">
        <v>2</v>
      </c>
      <c r="G8" s="34">
        <v>0</v>
      </c>
      <c r="H8" s="28">
        <v>6</v>
      </c>
      <c r="I8" s="3">
        <v>0</v>
      </c>
      <c r="J8" s="17">
        <v>6</v>
      </c>
    </row>
    <row r="9" spans="1:10" x14ac:dyDescent="0.35">
      <c r="A9" s="16" t="s">
        <v>3</v>
      </c>
      <c r="B9" s="34">
        <v>69</v>
      </c>
      <c r="C9" s="34">
        <v>34</v>
      </c>
      <c r="D9" s="34">
        <v>16</v>
      </c>
      <c r="E9" s="34">
        <v>5</v>
      </c>
      <c r="F9" s="34">
        <v>41</v>
      </c>
      <c r="G9" s="34">
        <v>27</v>
      </c>
      <c r="H9" s="28">
        <v>192</v>
      </c>
      <c r="I9" s="3">
        <v>1</v>
      </c>
      <c r="J9" s="17">
        <v>193</v>
      </c>
    </row>
    <row r="10" spans="1:10" x14ac:dyDescent="0.35">
      <c r="A10" s="16" t="s">
        <v>4</v>
      </c>
      <c r="B10" s="34">
        <v>168</v>
      </c>
      <c r="C10" s="34">
        <v>83</v>
      </c>
      <c r="D10" s="34">
        <v>35</v>
      </c>
      <c r="E10" s="34">
        <v>7</v>
      </c>
      <c r="F10" s="34">
        <v>133</v>
      </c>
      <c r="G10" s="34">
        <v>57</v>
      </c>
      <c r="H10" s="28">
        <v>483</v>
      </c>
      <c r="I10" s="3">
        <v>0</v>
      </c>
      <c r="J10" s="17">
        <v>483</v>
      </c>
    </row>
    <row r="11" spans="1:10" x14ac:dyDescent="0.35">
      <c r="A11" s="16" t="s">
        <v>5</v>
      </c>
      <c r="B11" s="35">
        <v>1350</v>
      </c>
      <c r="C11" s="35">
        <v>1908</v>
      </c>
      <c r="D11" s="35">
        <v>1198</v>
      </c>
      <c r="E11" s="34">
        <v>299</v>
      </c>
      <c r="F11" s="35">
        <v>1019</v>
      </c>
      <c r="G11" s="35">
        <v>1007</v>
      </c>
      <c r="H11" s="28">
        <v>6781</v>
      </c>
      <c r="I11" s="3">
        <v>38</v>
      </c>
      <c r="J11" s="17">
        <v>6819</v>
      </c>
    </row>
    <row r="12" spans="1:10" x14ac:dyDescent="0.35">
      <c r="A12" s="16" t="s">
        <v>6</v>
      </c>
      <c r="B12" s="35">
        <v>3531</v>
      </c>
      <c r="C12" s="35">
        <v>4894</v>
      </c>
      <c r="D12" s="35">
        <v>3175</v>
      </c>
      <c r="E12" s="34">
        <v>714</v>
      </c>
      <c r="F12" s="35">
        <v>3929</v>
      </c>
      <c r="G12" s="35">
        <v>3863</v>
      </c>
      <c r="H12" s="28">
        <v>20106</v>
      </c>
      <c r="I12" s="3">
        <v>148</v>
      </c>
      <c r="J12" s="17">
        <v>20254</v>
      </c>
    </row>
    <row r="13" spans="1:10" x14ac:dyDescent="0.35">
      <c r="A13" s="16" t="s">
        <v>7</v>
      </c>
      <c r="B13" s="35">
        <v>6627</v>
      </c>
      <c r="C13" s="35">
        <v>8680</v>
      </c>
      <c r="D13" s="35">
        <v>4884</v>
      </c>
      <c r="E13" s="35">
        <v>1500</v>
      </c>
      <c r="F13" s="35">
        <v>4326</v>
      </c>
      <c r="G13" s="35">
        <v>4929</v>
      </c>
      <c r="H13" s="28">
        <v>30946</v>
      </c>
      <c r="I13" s="3">
        <v>303</v>
      </c>
      <c r="J13" s="17">
        <v>31249</v>
      </c>
    </row>
    <row r="14" spans="1:10" x14ac:dyDescent="0.35">
      <c r="A14" s="16" t="s">
        <v>8</v>
      </c>
      <c r="B14" s="35">
        <v>10445</v>
      </c>
      <c r="C14" s="35">
        <v>10910</v>
      </c>
      <c r="D14" s="35">
        <v>3659</v>
      </c>
      <c r="E14" s="35">
        <v>1059</v>
      </c>
      <c r="F14" s="35">
        <v>3663</v>
      </c>
      <c r="G14" s="35">
        <v>2751</v>
      </c>
      <c r="H14" s="28">
        <v>32487</v>
      </c>
      <c r="I14" s="3">
        <v>334</v>
      </c>
      <c r="J14" s="17">
        <v>32821</v>
      </c>
    </row>
    <row r="15" spans="1:10" x14ac:dyDescent="0.35">
      <c r="A15" s="16" t="s">
        <v>9</v>
      </c>
      <c r="B15" s="35">
        <v>8365</v>
      </c>
      <c r="C15" s="35">
        <v>5669</v>
      </c>
      <c r="D15" s="34">
        <v>568</v>
      </c>
      <c r="E15" s="34">
        <v>381</v>
      </c>
      <c r="F15" s="35">
        <v>1194</v>
      </c>
      <c r="G15" s="34">
        <v>599</v>
      </c>
      <c r="H15" s="28">
        <v>16776</v>
      </c>
      <c r="I15" s="3">
        <v>76</v>
      </c>
      <c r="J15" s="17">
        <v>16852</v>
      </c>
    </row>
    <row r="16" spans="1:10" x14ac:dyDescent="0.35">
      <c r="A16" s="16" t="s">
        <v>10</v>
      </c>
      <c r="B16" s="35">
        <v>5733</v>
      </c>
      <c r="C16" s="35">
        <v>1905</v>
      </c>
      <c r="D16" s="34">
        <v>398</v>
      </c>
      <c r="E16" s="34">
        <v>202</v>
      </c>
      <c r="F16" s="35">
        <v>994</v>
      </c>
      <c r="G16" s="34">
        <v>332</v>
      </c>
      <c r="H16" s="28">
        <v>9564</v>
      </c>
      <c r="I16" s="3">
        <v>40</v>
      </c>
      <c r="J16" s="17">
        <v>9604</v>
      </c>
    </row>
    <row r="17" spans="1:10" x14ac:dyDescent="0.35">
      <c r="A17" s="16" t="s">
        <v>11</v>
      </c>
      <c r="B17" s="34">
        <v>374</v>
      </c>
      <c r="C17" s="34">
        <v>115</v>
      </c>
      <c r="D17" s="34">
        <v>2</v>
      </c>
      <c r="E17" s="34">
        <v>15</v>
      </c>
      <c r="F17" s="34">
        <v>0</v>
      </c>
      <c r="G17" s="34">
        <v>0</v>
      </c>
      <c r="H17" s="28">
        <v>506</v>
      </c>
      <c r="I17" s="3">
        <v>0</v>
      </c>
      <c r="J17" s="17">
        <v>506</v>
      </c>
    </row>
    <row r="18" spans="1:10" x14ac:dyDescent="0.35">
      <c r="A18" s="16" t="s">
        <v>12</v>
      </c>
      <c r="B18" s="35">
        <v>1316</v>
      </c>
      <c r="C18" s="34">
        <v>527</v>
      </c>
      <c r="D18" s="34">
        <v>26</v>
      </c>
      <c r="E18" s="34">
        <v>38</v>
      </c>
      <c r="F18" s="34">
        <v>0</v>
      </c>
      <c r="G18" s="34">
        <v>0</v>
      </c>
      <c r="H18" s="28">
        <v>1907</v>
      </c>
      <c r="I18" s="3">
        <v>32</v>
      </c>
      <c r="J18" s="17">
        <v>1939</v>
      </c>
    </row>
    <row r="19" spans="1:10" x14ac:dyDescent="0.35">
      <c r="A19" s="16" t="s">
        <v>13</v>
      </c>
      <c r="B19" s="35">
        <v>2306</v>
      </c>
      <c r="C19" s="34">
        <v>1188</v>
      </c>
      <c r="D19" s="34">
        <v>33</v>
      </c>
      <c r="E19" s="34">
        <v>85</v>
      </c>
      <c r="F19" s="34">
        <v>0</v>
      </c>
      <c r="G19" s="34">
        <v>0</v>
      </c>
      <c r="H19" s="28">
        <v>3612</v>
      </c>
      <c r="I19" s="3">
        <v>47</v>
      </c>
      <c r="J19" s="17">
        <v>3659</v>
      </c>
    </row>
    <row r="20" spans="1:10" x14ac:dyDescent="0.35">
      <c r="A20" s="16" t="s">
        <v>14</v>
      </c>
      <c r="B20" s="35">
        <v>3153</v>
      </c>
      <c r="C20" s="35">
        <v>1204</v>
      </c>
      <c r="D20" s="34">
        <v>35</v>
      </c>
      <c r="E20" s="34">
        <v>66</v>
      </c>
      <c r="F20" s="34">
        <v>0</v>
      </c>
      <c r="G20" s="34">
        <v>0</v>
      </c>
      <c r="H20" s="28">
        <v>4458</v>
      </c>
      <c r="I20" s="3">
        <v>31</v>
      </c>
      <c r="J20" s="17">
        <v>4489</v>
      </c>
    </row>
    <row r="21" spans="1:10" x14ac:dyDescent="0.35">
      <c r="A21" s="16" t="s">
        <v>15</v>
      </c>
      <c r="B21" s="35">
        <v>1437</v>
      </c>
      <c r="C21" s="34">
        <v>462</v>
      </c>
      <c r="D21" s="34">
        <v>0</v>
      </c>
      <c r="E21" s="34">
        <v>50</v>
      </c>
      <c r="F21" s="34">
        <v>0</v>
      </c>
      <c r="G21" s="34">
        <v>0</v>
      </c>
      <c r="H21" s="28">
        <v>1949</v>
      </c>
      <c r="I21" s="3">
        <v>0</v>
      </c>
      <c r="J21" s="17">
        <v>1949</v>
      </c>
    </row>
    <row r="22" spans="1:10" x14ac:dyDescent="0.35">
      <c r="A22" s="16" t="s">
        <v>41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28">
        <v>0</v>
      </c>
      <c r="I22" s="3">
        <v>0</v>
      </c>
      <c r="J22" s="17">
        <v>0</v>
      </c>
    </row>
    <row r="23" spans="1:10" ht="15" thickBot="1" x14ac:dyDescent="0.4">
      <c r="A23" s="18"/>
      <c r="B23" s="6"/>
      <c r="C23" s="7"/>
      <c r="D23" s="7"/>
      <c r="E23" s="7"/>
      <c r="F23" s="7"/>
      <c r="G23" s="25"/>
      <c r="H23" s="29"/>
      <c r="I23" s="6" t="s">
        <v>38</v>
      </c>
      <c r="J23" s="19"/>
    </row>
    <row r="24" spans="1:10" ht="15" thickBot="1" x14ac:dyDescent="0.4">
      <c r="A24" s="20" t="s">
        <v>16</v>
      </c>
      <c r="B24" s="30">
        <f>SUM(B7:B22)</f>
        <v>44877</v>
      </c>
      <c r="C24" s="30">
        <f>SUM(C7:C22)</f>
        <v>37579</v>
      </c>
      <c r="D24" s="30">
        <f>SUM(D7:D22)</f>
        <v>14029</v>
      </c>
      <c r="E24" s="30">
        <f>SUM(E7:E22)</f>
        <v>4422</v>
      </c>
      <c r="F24" s="30">
        <f>SUM(F7:F22)</f>
        <v>15302</v>
      </c>
      <c r="G24" s="39">
        <f>SUM(G7:G22)</f>
        <v>13565</v>
      </c>
      <c r="H24" s="38">
        <f>SUM(H7:H22)</f>
        <v>129774</v>
      </c>
      <c r="I24" s="30">
        <f>SUM(I7:I22)</f>
        <v>1050</v>
      </c>
      <c r="J24" s="31">
        <f>SUM(J7:J22)</f>
        <v>130824</v>
      </c>
    </row>
    <row r="25" spans="1:10" x14ac:dyDescent="0.35">
      <c r="A25" s="16" t="s">
        <v>17</v>
      </c>
      <c r="B25" s="4">
        <v>2056</v>
      </c>
      <c r="C25" s="5">
        <v>1476</v>
      </c>
      <c r="D25" s="5">
        <v>348</v>
      </c>
      <c r="E25" s="5">
        <v>169</v>
      </c>
      <c r="F25" s="5">
        <v>2011</v>
      </c>
      <c r="G25" s="23">
        <v>960</v>
      </c>
      <c r="H25" s="28">
        <v>7020</v>
      </c>
      <c r="I25" s="4">
        <v>72</v>
      </c>
      <c r="J25" s="21">
        <v>7092</v>
      </c>
    </row>
    <row r="26" spans="1:10" x14ac:dyDescent="0.35">
      <c r="A26" s="16" t="s">
        <v>18</v>
      </c>
      <c r="B26" s="3">
        <v>7170</v>
      </c>
      <c r="C26" s="2">
        <v>5484</v>
      </c>
      <c r="D26" s="2">
        <v>978</v>
      </c>
      <c r="E26" s="2">
        <v>465</v>
      </c>
      <c r="F26" s="2">
        <v>4446</v>
      </c>
      <c r="G26" s="24">
        <v>2870</v>
      </c>
      <c r="H26" s="28">
        <v>21413</v>
      </c>
      <c r="I26" s="3">
        <v>130</v>
      </c>
      <c r="J26" s="21">
        <v>21543</v>
      </c>
    </row>
    <row r="27" spans="1:10" x14ac:dyDescent="0.35">
      <c r="A27" s="16" t="s">
        <v>19</v>
      </c>
      <c r="B27" s="3">
        <v>18268</v>
      </c>
      <c r="C27" s="2">
        <v>13765</v>
      </c>
      <c r="D27" s="2">
        <v>3778</v>
      </c>
      <c r="E27" s="2">
        <v>1085</v>
      </c>
      <c r="F27" s="2">
        <v>15178</v>
      </c>
      <c r="G27" s="24">
        <v>8228</v>
      </c>
      <c r="H27" s="28">
        <v>60302</v>
      </c>
      <c r="I27" s="3">
        <v>666</v>
      </c>
      <c r="J27" s="21">
        <v>60968</v>
      </c>
    </row>
    <row r="28" spans="1:10" x14ac:dyDescent="0.35">
      <c r="A28" s="16" t="s">
        <v>20</v>
      </c>
      <c r="B28" s="3">
        <v>34633</v>
      </c>
      <c r="C28" s="2">
        <v>19260</v>
      </c>
      <c r="D28" s="2">
        <v>10723</v>
      </c>
      <c r="E28" s="2">
        <v>1920</v>
      </c>
      <c r="F28" s="2">
        <v>19378</v>
      </c>
      <c r="G28" s="24">
        <v>12459</v>
      </c>
      <c r="H28" s="28">
        <v>98373</v>
      </c>
      <c r="I28" s="3">
        <v>1519</v>
      </c>
      <c r="J28" s="21">
        <v>99892</v>
      </c>
    </row>
    <row r="29" spans="1:10" x14ac:dyDescent="0.35">
      <c r="A29" s="16" t="s">
        <v>21</v>
      </c>
      <c r="B29" s="3">
        <v>60634</v>
      </c>
      <c r="C29" s="2">
        <v>31931</v>
      </c>
      <c r="D29" s="2">
        <v>14393</v>
      </c>
      <c r="E29" s="2">
        <v>4482</v>
      </c>
      <c r="F29" s="2">
        <v>20958</v>
      </c>
      <c r="G29" s="24">
        <v>12498</v>
      </c>
      <c r="H29" s="28">
        <v>144896</v>
      </c>
      <c r="I29" s="3">
        <v>1641</v>
      </c>
      <c r="J29" s="21">
        <v>146537</v>
      </c>
    </row>
    <row r="30" spans="1:10" x14ac:dyDescent="0.35">
      <c r="A30" s="16" t="s">
        <v>22</v>
      </c>
      <c r="B30" s="3">
        <v>102079</v>
      </c>
      <c r="C30" s="2">
        <v>52341</v>
      </c>
      <c r="D30" s="2">
        <v>7782</v>
      </c>
      <c r="E30" s="2">
        <v>6256</v>
      </c>
      <c r="F30" s="2">
        <v>15047</v>
      </c>
      <c r="G30" s="24">
        <v>11972</v>
      </c>
      <c r="H30" s="28">
        <v>195477</v>
      </c>
      <c r="I30" s="3">
        <v>954</v>
      </c>
      <c r="J30" s="21">
        <v>196431</v>
      </c>
    </row>
    <row r="31" spans="1:10" x14ac:dyDescent="0.35">
      <c r="A31" s="16" t="s">
        <v>23</v>
      </c>
      <c r="B31" s="3">
        <v>34330</v>
      </c>
      <c r="C31" s="2">
        <v>14552</v>
      </c>
      <c r="D31" s="2">
        <v>3716</v>
      </c>
      <c r="E31" s="2">
        <v>14812</v>
      </c>
      <c r="F31" s="2">
        <v>11833</v>
      </c>
      <c r="G31" s="24">
        <v>3763</v>
      </c>
      <c r="H31" s="28">
        <v>83006</v>
      </c>
      <c r="I31" s="3">
        <v>91</v>
      </c>
      <c r="J31" s="21">
        <v>83097</v>
      </c>
    </row>
    <row r="32" spans="1:10" x14ac:dyDescent="0.35">
      <c r="A32" s="16" t="s">
        <v>24</v>
      </c>
      <c r="B32" s="3">
        <v>17813</v>
      </c>
      <c r="C32" s="2">
        <v>7400</v>
      </c>
      <c r="D32" s="2">
        <v>1216</v>
      </c>
      <c r="E32" s="2">
        <v>3371</v>
      </c>
      <c r="F32" s="2">
        <v>600</v>
      </c>
      <c r="G32" s="24">
        <v>634</v>
      </c>
      <c r="H32" s="28">
        <v>31034</v>
      </c>
      <c r="I32" s="3">
        <v>0</v>
      </c>
      <c r="J32" s="21">
        <v>31034</v>
      </c>
    </row>
    <row r="33" spans="1:10" x14ac:dyDescent="0.35">
      <c r="A33" s="16" t="s">
        <v>25</v>
      </c>
      <c r="B33" s="2">
        <v>14759</v>
      </c>
      <c r="C33" s="2">
        <v>6562</v>
      </c>
      <c r="D33" s="2">
        <v>632</v>
      </c>
      <c r="E33" s="2">
        <v>1280</v>
      </c>
      <c r="F33" s="2">
        <v>1575</v>
      </c>
      <c r="G33" s="24">
        <v>1233</v>
      </c>
      <c r="H33" s="28">
        <v>26041</v>
      </c>
      <c r="I33" s="3">
        <v>0</v>
      </c>
      <c r="J33" s="21">
        <v>26041</v>
      </c>
    </row>
    <row r="34" spans="1:10" x14ac:dyDescent="0.35">
      <c r="A34" s="16" t="s">
        <v>40</v>
      </c>
      <c r="B34" s="34">
        <v>0</v>
      </c>
      <c r="C34" s="34">
        <v>0</v>
      </c>
      <c r="D34" s="34">
        <v>0</v>
      </c>
      <c r="E34" s="34">
        <v>0</v>
      </c>
      <c r="F34" s="34">
        <v>3</v>
      </c>
      <c r="G34" s="34">
        <v>0</v>
      </c>
      <c r="H34" s="28">
        <v>3</v>
      </c>
      <c r="I34" s="3">
        <v>0</v>
      </c>
      <c r="J34" s="17">
        <v>3</v>
      </c>
    </row>
    <row r="35" spans="1:10" ht="15" thickBot="1" x14ac:dyDescent="0.4">
      <c r="A35" s="16"/>
      <c r="B35" s="8"/>
      <c r="C35" s="41"/>
      <c r="D35" s="41"/>
      <c r="E35" s="41"/>
      <c r="F35" s="41"/>
      <c r="G35" s="40"/>
      <c r="H35" s="28"/>
      <c r="I35" s="3"/>
      <c r="J35" s="21"/>
    </row>
    <row r="36" spans="1:10" ht="15" thickBot="1" x14ac:dyDescent="0.4">
      <c r="A36" s="20" t="s">
        <v>26</v>
      </c>
      <c r="B36" s="30">
        <f>SUM(B25:B34)</f>
        <v>291742</v>
      </c>
      <c r="C36" s="30">
        <f>SUM(C25:C34)</f>
        <v>152771</v>
      </c>
      <c r="D36" s="30">
        <f>SUM(D25:D34)</f>
        <v>43566</v>
      </c>
      <c r="E36" s="30">
        <f>SUM(E25:E34)</f>
        <v>33840</v>
      </c>
      <c r="F36" s="30">
        <f>SUM(F25:F34)</f>
        <v>91029</v>
      </c>
      <c r="G36" s="39">
        <f>SUM(G25:G34)</f>
        <v>54617</v>
      </c>
      <c r="H36" s="38">
        <f>SUM(H25:H34)</f>
        <v>667565</v>
      </c>
      <c r="I36" s="30">
        <f>SUM(I25:I34)</f>
        <v>5073</v>
      </c>
      <c r="J36" s="31">
        <f>SUM(J25:J34)</f>
        <v>672638</v>
      </c>
    </row>
    <row r="37" spans="1:10" ht="15.5" thickTop="1" thickBot="1" x14ac:dyDescent="0.4">
      <c r="A37" s="9" t="s">
        <v>27</v>
      </c>
      <c r="B37" s="32">
        <f>SUM(B24,B36)</f>
        <v>336619</v>
      </c>
      <c r="C37" s="32">
        <f>SUM(C24,C36)</f>
        <v>190350</v>
      </c>
      <c r="D37" s="32">
        <f>SUM(D24,D36)</f>
        <v>57595</v>
      </c>
      <c r="E37" s="32">
        <f>SUM(E24,E36)</f>
        <v>38262</v>
      </c>
      <c r="F37" s="32">
        <f>SUM(F24,F36)</f>
        <v>106331</v>
      </c>
      <c r="G37" s="33">
        <f>SUM(G24,G36)</f>
        <v>68182</v>
      </c>
      <c r="H37" s="37">
        <f>SUM(H24,H36)</f>
        <v>797339</v>
      </c>
      <c r="I37" s="32">
        <f>SUM(I24,I36)</f>
        <v>6123</v>
      </c>
      <c r="J37" s="36">
        <f>SUM(J24,J36)</f>
        <v>803462</v>
      </c>
    </row>
    <row r="38" spans="1:10" ht="15" thickTop="1" x14ac:dyDescent="0.35">
      <c r="B38" s="10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5" x14ac:dyDescent="0.45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5" x14ac:dyDescent="0.45">
      <c r="A3" s="48" t="s">
        <v>49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" thickBot="1" x14ac:dyDescent="0.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29.5" thickBot="1" x14ac:dyDescent="0.4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7" t="s">
        <v>36</v>
      </c>
      <c r="I6" s="26" t="s">
        <v>39</v>
      </c>
      <c r="J6" s="15" t="s">
        <v>37</v>
      </c>
    </row>
    <row r="7" spans="1:10" ht="15" thickTop="1" x14ac:dyDescent="0.35">
      <c r="A7" s="16" t="s">
        <v>1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28">
        <v>1</v>
      </c>
      <c r="I7" s="4">
        <v>0</v>
      </c>
      <c r="J7" s="17">
        <v>1</v>
      </c>
    </row>
    <row r="8" spans="1:10" x14ac:dyDescent="0.35">
      <c r="A8" s="16" t="s">
        <v>2</v>
      </c>
      <c r="B8" s="34">
        <v>3</v>
      </c>
      <c r="C8" s="34">
        <v>0</v>
      </c>
      <c r="D8" s="34">
        <v>0</v>
      </c>
      <c r="E8" s="34">
        <v>1</v>
      </c>
      <c r="F8" s="34">
        <v>2</v>
      </c>
      <c r="G8" s="34">
        <v>0</v>
      </c>
      <c r="H8" s="28">
        <v>6</v>
      </c>
      <c r="I8" s="3">
        <v>0</v>
      </c>
      <c r="J8" s="17">
        <v>6</v>
      </c>
    </row>
    <row r="9" spans="1:10" x14ac:dyDescent="0.35">
      <c r="A9" s="16" t="s">
        <v>3</v>
      </c>
      <c r="B9" s="34">
        <v>69</v>
      </c>
      <c r="C9" s="34">
        <v>35</v>
      </c>
      <c r="D9" s="34">
        <v>16</v>
      </c>
      <c r="E9" s="34">
        <v>5</v>
      </c>
      <c r="F9" s="34">
        <v>41</v>
      </c>
      <c r="G9" s="34">
        <v>28</v>
      </c>
      <c r="H9" s="28">
        <v>194</v>
      </c>
      <c r="I9" s="3">
        <v>1</v>
      </c>
      <c r="J9" s="17">
        <v>195</v>
      </c>
    </row>
    <row r="10" spans="1:10" x14ac:dyDescent="0.35">
      <c r="A10" s="16" t="s">
        <v>4</v>
      </c>
      <c r="B10" s="34">
        <v>167</v>
      </c>
      <c r="C10" s="34">
        <v>82</v>
      </c>
      <c r="D10" s="34">
        <v>35</v>
      </c>
      <c r="E10" s="34">
        <v>7</v>
      </c>
      <c r="F10" s="34">
        <v>134</v>
      </c>
      <c r="G10" s="34">
        <v>54</v>
      </c>
      <c r="H10" s="28">
        <v>479</v>
      </c>
      <c r="I10" s="3">
        <v>0</v>
      </c>
      <c r="J10" s="17">
        <v>479</v>
      </c>
    </row>
    <row r="11" spans="1:10" x14ac:dyDescent="0.35">
      <c r="A11" s="16" t="s">
        <v>5</v>
      </c>
      <c r="B11" s="35">
        <v>1344</v>
      </c>
      <c r="C11" s="35">
        <v>1910</v>
      </c>
      <c r="D11" s="35">
        <v>1195</v>
      </c>
      <c r="E11" s="34">
        <v>295</v>
      </c>
      <c r="F11" s="35">
        <v>1005</v>
      </c>
      <c r="G11" s="35">
        <v>1024</v>
      </c>
      <c r="H11" s="28">
        <v>6773</v>
      </c>
      <c r="I11" s="3">
        <v>38</v>
      </c>
      <c r="J11" s="17">
        <v>6811</v>
      </c>
    </row>
    <row r="12" spans="1:10" x14ac:dyDescent="0.35">
      <c r="A12" s="16" t="s">
        <v>6</v>
      </c>
      <c r="B12" s="35">
        <v>3528</v>
      </c>
      <c r="C12" s="35">
        <v>4921</v>
      </c>
      <c r="D12" s="35">
        <v>3168</v>
      </c>
      <c r="E12" s="34">
        <v>713</v>
      </c>
      <c r="F12" s="35">
        <v>3975</v>
      </c>
      <c r="G12" s="35">
        <v>3853</v>
      </c>
      <c r="H12" s="28">
        <v>20158</v>
      </c>
      <c r="I12" s="3">
        <v>149</v>
      </c>
      <c r="J12" s="17">
        <v>20307</v>
      </c>
    </row>
    <row r="13" spans="1:10" x14ac:dyDescent="0.35">
      <c r="A13" s="16" t="s">
        <v>7</v>
      </c>
      <c r="B13" s="35">
        <v>6617</v>
      </c>
      <c r="C13" s="35">
        <v>8717</v>
      </c>
      <c r="D13" s="35">
        <v>4878</v>
      </c>
      <c r="E13" s="35">
        <v>1513</v>
      </c>
      <c r="F13" s="35">
        <v>4329</v>
      </c>
      <c r="G13" s="35">
        <v>4950</v>
      </c>
      <c r="H13" s="28">
        <v>31004</v>
      </c>
      <c r="I13" s="3">
        <v>302</v>
      </c>
      <c r="J13" s="17">
        <v>31306</v>
      </c>
    </row>
    <row r="14" spans="1:10" x14ac:dyDescent="0.35">
      <c r="A14" s="16" t="s">
        <v>8</v>
      </c>
      <c r="B14" s="35">
        <v>10443</v>
      </c>
      <c r="C14" s="35">
        <v>11006</v>
      </c>
      <c r="D14" s="35">
        <v>3704</v>
      </c>
      <c r="E14" s="35">
        <v>1054</v>
      </c>
      <c r="F14" s="35">
        <v>3618</v>
      </c>
      <c r="G14" s="35">
        <v>2766</v>
      </c>
      <c r="H14" s="28">
        <v>32591</v>
      </c>
      <c r="I14" s="3">
        <v>333</v>
      </c>
      <c r="J14" s="17">
        <v>32924</v>
      </c>
    </row>
    <row r="15" spans="1:10" x14ac:dyDescent="0.35">
      <c r="A15" s="16" t="s">
        <v>9</v>
      </c>
      <c r="B15" s="35">
        <v>8195</v>
      </c>
      <c r="C15" s="35">
        <v>5624</v>
      </c>
      <c r="D15" s="34">
        <v>638</v>
      </c>
      <c r="E15" s="34">
        <v>365</v>
      </c>
      <c r="F15" s="35">
        <v>1175</v>
      </c>
      <c r="G15" s="34">
        <v>550</v>
      </c>
      <c r="H15" s="28">
        <v>16547</v>
      </c>
      <c r="I15" s="3">
        <v>76</v>
      </c>
      <c r="J15" s="17">
        <v>16623</v>
      </c>
    </row>
    <row r="16" spans="1:10" x14ac:dyDescent="0.35">
      <c r="A16" s="16" t="s">
        <v>10</v>
      </c>
      <c r="B16" s="35">
        <v>5778</v>
      </c>
      <c r="C16" s="35">
        <v>1848</v>
      </c>
      <c r="D16" s="34">
        <v>333</v>
      </c>
      <c r="E16" s="34">
        <v>202</v>
      </c>
      <c r="F16" s="35">
        <v>1051</v>
      </c>
      <c r="G16" s="34">
        <v>336</v>
      </c>
      <c r="H16" s="28">
        <v>9548</v>
      </c>
      <c r="I16" s="3">
        <v>40</v>
      </c>
      <c r="J16" s="17">
        <v>9588</v>
      </c>
    </row>
    <row r="17" spans="1:10" x14ac:dyDescent="0.35">
      <c r="A17" s="16" t="s">
        <v>11</v>
      </c>
      <c r="B17" s="34">
        <v>376</v>
      </c>
      <c r="C17" s="34">
        <v>114</v>
      </c>
      <c r="D17" s="34">
        <v>2</v>
      </c>
      <c r="E17" s="34">
        <v>15</v>
      </c>
      <c r="F17" s="34">
        <v>0</v>
      </c>
      <c r="G17" s="34">
        <v>0</v>
      </c>
      <c r="H17" s="28">
        <v>507</v>
      </c>
      <c r="I17" s="3">
        <v>0</v>
      </c>
      <c r="J17" s="17">
        <v>507</v>
      </c>
    </row>
    <row r="18" spans="1:10" x14ac:dyDescent="0.35">
      <c r="A18" s="16" t="s">
        <v>12</v>
      </c>
      <c r="B18" s="35">
        <v>1309</v>
      </c>
      <c r="C18" s="34">
        <v>530</v>
      </c>
      <c r="D18" s="34">
        <v>26</v>
      </c>
      <c r="E18" s="34">
        <v>38</v>
      </c>
      <c r="F18" s="34">
        <v>0</v>
      </c>
      <c r="G18" s="34">
        <v>0</v>
      </c>
      <c r="H18" s="28">
        <v>1903</v>
      </c>
      <c r="I18" s="3">
        <v>32</v>
      </c>
      <c r="J18" s="17">
        <v>1935</v>
      </c>
    </row>
    <row r="19" spans="1:10" x14ac:dyDescent="0.35">
      <c r="A19" s="16" t="s">
        <v>13</v>
      </c>
      <c r="B19" s="35">
        <v>2322</v>
      </c>
      <c r="C19" s="34">
        <v>1204</v>
      </c>
      <c r="D19" s="34">
        <v>33</v>
      </c>
      <c r="E19" s="34">
        <v>82</v>
      </c>
      <c r="F19" s="34">
        <v>0</v>
      </c>
      <c r="G19" s="34">
        <v>0</v>
      </c>
      <c r="H19" s="28">
        <v>3641</v>
      </c>
      <c r="I19" s="3">
        <v>47</v>
      </c>
      <c r="J19" s="17">
        <v>3688</v>
      </c>
    </row>
    <row r="20" spans="1:10" x14ac:dyDescent="0.35">
      <c r="A20" s="16" t="s">
        <v>14</v>
      </c>
      <c r="B20" s="35">
        <v>3096</v>
      </c>
      <c r="C20" s="35">
        <v>1200</v>
      </c>
      <c r="D20" s="34">
        <v>35</v>
      </c>
      <c r="E20" s="34">
        <v>66</v>
      </c>
      <c r="F20" s="34">
        <v>0</v>
      </c>
      <c r="G20" s="34">
        <v>0</v>
      </c>
      <c r="H20" s="28">
        <v>4397</v>
      </c>
      <c r="I20" s="3">
        <v>32</v>
      </c>
      <c r="J20" s="17">
        <v>4429</v>
      </c>
    </row>
    <row r="21" spans="1:10" x14ac:dyDescent="0.35">
      <c r="A21" s="16" t="s">
        <v>15</v>
      </c>
      <c r="B21" s="35">
        <v>1487</v>
      </c>
      <c r="C21" s="34">
        <v>457</v>
      </c>
      <c r="D21" s="34">
        <v>0</v>
      </c>
      <c r="E21" s="34">
        <v>50</v>
      </c>
      <c r="F21" s="34">
        <v>0</v>
      </c>
      <c r="G21" s="34">
        <v>0</v>
      </c>
      <c r="H21" s="28">
        <v>1994</v>
      </c>
      <c r="I21" s="3">
        <v>0</v>
      </c>
      <c r="J21" s="17">
        <v>1994</v>
      </c>
    </row>
    <row r="22" spans="1:10" x14ac:dyDescent="0.35">
      <c r="A22" s="16" t="s">
        <v>41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28">
        <v>0</v>
      </c>
      <c r="I22" s="3">
        <v>0</v>
      </c>
      <c r="J22" s="17">
        <v>0</v>
      </c>
    </row>
    <row r="23" spans="1:10" ht="15" thickBot="1" x14ac:dyDescent="0.4">
      <c r="A23" s="18"/>
      <c r="B23" s="6"/>
      <c r="C23" s="7"/>
      <c r="D23" s="7"/>
      <c r="E23" s="7"/>
      <c r="F23" s="7"/>
      <c r="G23" s="25"/>
      <c r="H23" s="29"/>
      <c r="I23" s="6" t="s">
        <v>38</v>
      </c>
      <c r="J23" s="19"/>
    </row>
    <row r="24" spans="1:10" ht="15" thickBot="1" x14ac:dyDescent="0.4">
      <c r="A24" s="20" t="s">
        <v>16</v>
      </c>
      <c r="B24" s="30">
        <f>SUM(B7:B22)</f>
        <v>44734</v>
      </c>
      <c r="C24" s="30">
        <f>SUM(C7:C22)</f>
        <v>37648</v>
      </c>
      <c r="D24" s="30">
        <f>SUM(D7:D22)</f>
        <v>14063</v>
      </c>
      <c r="E24" s="30">
        <f>SUM(E7:E22)</f>
        <v>4406</v>
      </c>
      <c r="F24" s="30">
        <f>SUM(F7:F22)</f>
        <v>15331</v>
      </c>
      <c r="G24" s="39">
        <f>SUM(G7:G22)</f>
        <v>13561</v>
      </c>
      <c r="H24" s="38">
        <f>SUM(H7:H22)</f>
        <v>129743</v>
      </c>
      <c r="I24" s="30">
        <f>SUM(I7:I22)</f>
        <v>1050</v>
      </c>
      <c r="J24" s="31">
        <f>SUM(J7:J22)</f>
        <v>130793</v>
      </c>
    </row>
    <row r="25" spans="1:10" x14ac:dyDescent="0.35">
      <c r="A25" s="16" t="s">
        <v>17</v>
      </c>
      <c r="B25" s="4">
        <v>2061</v>
      </c>
      <c r="C25" s="5">
        <v>1469</v>
      </c>
      <c r="D25" s="5">
        <v>348</v>
      </c>
      <c r="E25" s="5">
        <v>169</v>
      </c>
      <c r="F25" s="5">
        <v>2016</v>
      </c>
      <c r="G25" s="23">
        <v>955</v>
      </c>
      <c r="H25" s="28">
        <v>7018</v>
      </c>
      <c r="I25" s="4">
        <v>72</v>
      </c>
      <c r="J25" s="21">
        <v>7090</v>
      </c>
    </row>
    <row r="26" spans="1:10" x14ac:dyDescent="0.35">
      <c r="A26" s="16" t="s">
        <v>18</v>
      </c>
      <c r="B26" s="3">
        <v>7165</v>
      </c>
      <c r="C26" s="2">
        <v>5419</v>
      </c>
      <c r="D26" s="2">
        <v>982</v>
      </c>
      <c r="E26" s="2">
        <v>462</v>
      </c>
      <c r="F26" s="2">
        <v>4459</v>
      </c>
      <c r="G26" s="24">
        <v>2862</v>
      </c>
      <c r="H26" s="28">
        <v>21349</v>
      </c>
      <c r="I26" s="3">
        <v>130</v>
      </c>
      <c r="J26" s="21">
        <v>21479</v>
      </c>
    </row>
    <row r="27" spans="1:10" x14ac:dyDescent="0.35">
      <c r="A27" s="16" t="s">
        <v>19</v>
      </c>
      <c r="B27" s="3">
        <v>18222</v>
      </c>
      <c r="C27" s="2">
        <v>13858</v>
      </c>
      <c r="D27" s="2">
        <v>3776</v>
      </c>
      <c r="E27" s="2">
        <v>1096</v>
      </c>
      <c r="F27" s="2">
        <v>15176</v>
      </c>
      <c r="G27" s="24">
        <v>8201</v>
      </c>
      <c r="H27" s="28">
        <v>60329</v>
      </c>
      <c r="I27" s="3">
        <v>674</v>
      </c>
      <c r="J27" s="21">
        <v>61003</v>
      </c>
    </row>
    <row r="28" spans="1:10" x14ac:dyDescent="0.35">
      <c r="A28" s="16" t="s">
        <v>20</v>
      </c>
      <c r="B28" s="3">
        <v>34374</v>
      </c>
      <c r="C28" s="2">
        <v>19007</v>
      </c>
      <c r="D28" s="2">
        <v>10763</v>
      </c>
      <c r="E28" s="2">
        <v>1930</v>
      </c>
      <c r="F28" s="2">
        <v>19495</v>
      </c>
      <c r="G28" s="24">
        <v>12539</v>
      </c>
      <c r="H28" s="28">
        <v>98108</v>
      </c>
      <c r="I28" s="3">
        <v>1523</v>
      </c>
      <c r="J28" s="21">
        <v>99631</v>
      </c>
    </row>
    <row r="29" spans="1:10" x14ac:dyDescent="0.35">
      <c r="A29" s="16" t="s">
        <v>21</v>
      </c>
      <c r="B29" s="3">
        <v>60552</v>
      </c>
      <c r="C29" s="2">
        <v>32098</v>
      </c>
      <c r="D29" s="2">
        <v>14412</v>
      </c>
      <c r="E29" s="2">
        <v>4527</v>
      </c>
      <c r="F29" s="2">
        <v>21033</v>
      </c>
      <c r="G29" s="24">
        <v>12507</v>
      </c>
      <c r="H29" s="28">
        <v>145129</v>
      </c>
      <c r="I29" s="3">
        <v>1641</v>
      </c>
      <c r="J29" s="21">
        <v>146770</v>
      </c>
    </row>
    <row r="30" spans="1:10" x14ac:dyDescent="0.35">
      <c r="A30" s="16" t="s">
        <v>22</v>
      </c>
      <c r="B30" s="3">
        <v>101852</v>
      </c>
      <c r="C30" s="2">
        <v>52023</v>
      </c>
      <c r="D30" s="2">
        <v>7731</v>
      </c>
      <c r="E30" s="2">
        <v>6315</v>
      </c>
      <c r="F30" s="2">
        <v>15060</v>
      </c>
      <c r="G30" s="24">
        <v>11926</v>
      </c>
      <c r="H30" s="28">
        <v>194907</v>
      </c>
      <c r="I30" s="3">
        <v>960</v>
      </c>
      <c r="J30" s="21">
        <v>195867</v>
      </c>
    </row>
    <row r="31" spans="1:10" x14ac:dyDescent="0.35">
      <c r="A31" s="16" t="s">
        <v>23</v>
      </c>
      <c r="B31" s="3">
        <v>34760</v>
      </c>
      <c r="C31" s="2">
        <v>14807</v>
      </c>
      <c r="D31" s="2">
        <v>3694</v>
      </c>
      <c r="E31" s="2">
        <v>14744</v>
      </c>
      <c r="F31" s="2">
        <v>11733</v>
      </c>
      <c r="G31" s="24">
        <v>3776</v>
      </c>
      <c r="H31" s="28">
        <v>83514</v>
      </c>
      <c r="I31" s="3">
        <v>103</v>
      </c>
      <c r="J31" s="21">
        <v>83617</v>
      </c>
    </row>
    <row r="32" spans="1:10" x14ac:dyDescent="0.35">
      <c r="A32" s="16" t="s">
        <v>24</v>
      </c>
      <c r="B32" s="3">
        <v>17854</v>
      </c>
      <c r="C32" s="2">
        <v>6932</v>
      </c>
      <c r="D32" s="2">
        <v>1164</v>
      </c>
      <c r="E32" s="2">
        <v>3240</v>
      </c>
      <c r="F32" s="2">
        <v>620</v>
      </c>
      <c r="G32" s="24">
        <v>658</v>
      </c>
      <c r="H32" s="28">
        <v>30468</v>
      </c>
      <c r="I32" s="3">
        <v>0</v>
      </c>
      <c r="J32" s="21">
        <v>30468</v>
      </c>
    </row>
    <row r="33" spans="1:10" x14ac:dyDescent="0.35">
      <c r="A33" s="16" t="s">
        <v>25</v>
      </c>
      <c r="B33" s="2">
        <v>14579</v>
      </c>
      <c r="C33" s="2">
        <v>6633</v>
      </c>
      <c r="D33" s="2">
        <v>573</v>
      </c>
      <c r="E33" s="2">
        <v>1205</v>
      </c>
      <c r="F33" s="2">
        <v>1742</v>
      </c>
      <c r="G33" s="24">
        <v>1246</v>
      </c>
      <c r="H33" s="28">
        <v>25978</v>
      </c>
      <c r="I33" s="3">
        <v>0</v>
      </c>
      <c r="J33" s="21">
        <v>25978</v>
      </c>
    </row>
    <row r="34" spans="1:10" x14ac:dyDescent="0.35">
      <c r="A34" s="16" t="s">
        <v>40</v>
      </c>
      <c r="B34" s="34">
        <v>0</v>
      </c>
      <c r="C34" s="34">
        <v>0</v>
      </c>
      <c r="D34" s="34">
        <v>0</v>
      </c>
      <c r="E34" s="34">
        <v>0</v>
      </c>
      <c r="F34" s="34">
        <v>1</v>
      </c>
      <c r="G34" s="34">
        <v>0</v>
      </c>
      <c r="H34" s="28">
        <v>1</v>
      </c>
      <c r="I34" s="3">
        <v>0</v>
      </c>
      <c r="J34" s="17">
        <v>1</v>
      </c>
    </row>
    <row r="35" spans="1:10" ht="15" thickBot="1" x14ac:dyDescent="0.4">
      <c r="A35" s="16"/>
      <c r="B35" s="8"/>
      <c r="C35" s="41"/>
      <c r="D35" s="41"/>
      <c r="E35" s="41"/>
      <c r="F35" s="41"/>
      <c r="G35" s="40"/>
      <c r="H35" s="28"/>
      <c r="I35" s="3"/>
      <c r="J35" s="21"/>
    </row>
    <row r="36" spans="1:10" ht="15" thickBot="1" x14ac:dyDescent="0.4">
      <c r="A36" s="20" t="s">
        <v>26</v>
      </c>
      <c r="B36" s="30">
        <f>SUM(B25:B34)</f>
        <v>291419</v>
      </c>
      <c r="C36" s="30">
        <f>SUM(C25:C34)</f>
        <v>152246</v>
      </c>
      <c r="D36" s="30">
        <f>SUM(D25:D34)</f>
        <v>43443</v>
      </c>
      <c r="E36" s="30">
        <f>SUM(E25:E34)</f>
        <v>33688</v>
      </c>
      <c r="F36" s="30">
        <f>SUM(F25:F34)</f>
        <v>91335</v>
      </c>
      <c r="G36" s="39">
        <f>SUM(G25:G34)</f>
        <v>54670</v>
      </c>
      <c r="H36" s="38">
        <f>SUM(H25:H34)</f>
        <v>666801</v>
      </c>
      <c r="I36" s="30">
        <f>SUM(I25:I34)</f>
        <v>5103</v>
      </c>
      <c r="J36" s="31">
        <f>SUM(J25:J34)</f>
        <v>671904</v>
      </c>
    </row>
    <row r="37" spans="1:10" ht="15.5" thickTop="1" thickBot="1" x14ac:dyDescent="0.4">
      <c r="A37" s="9" t="s">
        <v>27</v>
      </c>
      <c r="B37" s="32">
        <f>SUM(B24,B36)</f>
        <v>336153</v>
      </c>
      <c r="C37" s="32">
        <f>SUM(C24,C36)</f>
        <v>189894</v>
      </c>
      <c r="D37" s="32">
        <f>SUM(D24,D36)</f>
        <v>57506</v>
      </c>
      <c r="E37" s="32">
        <f>SUM(E24,E36)</f>
        <v>38094</v>
      </c>
      <c r="F37" s="32">
        <f>SUM(F24,F36)</f>
        <v>106666</v>
      </c>
      <c r="G37" s="33">
        <f>SUM(G24,G36)</f>
        <v>68231</v>
      </c>
      <c r="H37" s="37">
        <f>SUM(H24,H36)</f>
        <v>796544</v>
      </c>
      <c r="I37" s="32">
        <f>SUM(I24,I36)</f>
        <v>6153</v>
      </c>
      <c r="J37" s="36">
        <f>SUM(J24,J36)</f>
        <v>802697</v>
      </c>
    </row>
    <row r="38" spans="1:10" ht="15" thickTop="1" x14ac:dyDescent="0.35">
      <c r="B38" s="10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5" x14ac:dyDescent="0.45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5" x14ac:dyDescent="0.45">
      <c r="A3" s="48" t="s">
        <v>50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" thickBot="1" x14ac:dyDescent="0.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29.5" thickBot="1" x14ac:dyDescent="0.4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7" t="s">
        <v>36</v>
      </c>
      <c r="I6" s="26" t="s">
        <v>39</v>
      </c>
      <c r="J6" s="15" t="s">
        <v>37</v>
      </c>
    </row>
    <row r="7" spans="1:10" ht="15" thickTop="1" x14ac:dyDescent="0.35">
      <c r="A7" s="16" t="s">
        <v>1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28">
        <v>1</v>
      </c>
      <c r="I7" s="4">
        <v>0</v>
      </c>
      <c r="J7" s="17">
        <v>1</v>
      </c>
    </row>
    <row r="8" spans="1:10" x14ac:dyDescent="0.35">
      <c r="A8" s="16" t="s">
        <v>2</v>
      </c>
      <c r="B8" s="34">
        <v>3</v>
      </c>
      <c r="C8" s="34">
        <v>0</v>
      </c>
      <c r="D8" s="34">
        <v>0</v>
      </c>
      <c r="E8" s="34">
        <v>1</v>
      </c>
      <c r="F8" s="34">
        <v>2</v>
      </c>
      <c r="G8" s="34">
        <v>0</v>
      </c>
      <c r="H8" s="28">
        <v>6</v>
      </c>
      <c r="I8" s="3">
        <v>0</v>
      </c>
      <c r="J8" s="17">
        <v>6</v>
      </c>
    </row>
    <row r="9" spans="1:10" x14ac:dyDescent="0.35">
      <c r="A9" s="16" t="s">
        <v>3</v>
      </c>
      <c r="B9" s="34">
        <v>73</v>
      </c>
      <c r="C9" s="34">
        <v>36</v>
      </c>
      <c r="D9" s="34">
        <v>16</v>
      </c>
      <c r="E9" s="34">
        <v>5</v>
      </c>
      <c r="F9" s="34">
        <v>42</v>
      </c>
      <c r="G9" s="34">
        <v>27</v>
      </c>
      <c r="H9" s="28">
        <v>199</v>
      </c>
      <c r="I9" s="3">
        <v>1</v>
      </c>
      <c r="J9" s="17">
        <v>200</v>
      </c>
    </row>
    <row r="10" spans="1:10" x14ac:dyDescent="0.35">
      <c r="A10" s="16" t="s">
        <v>4</v>
      </c>
      <c r="B10" s="34">
        <v>164</v>
      </c>
      <c r="C10" s="34">
        <v>84</v>
      </c>
      <c r="D10" s="34">
        <v>35</v>
      </c>
      <c r="E10" s="34">
        <v>7</v>
      </c>
      <c r="F10" s="34">
        <v>133</v>
      </c>
      <c r="G10" s="34">
        <v>54</v>
      </c>
      <c r="H10" s="28">
        <v>477</v>
      </c>
      <c r="I10" s="3">
        <v>0</v>
      </c>
      <c r="J10" s="17">
        <v>477</v>
      </c>
    </row>
    <row r="11" spans="1:10" x14ac:dyDescent="0.35">
      <c r="A11" s="16" t="s">
        <v>5</v>
      </c>
      <c r="B11" s="35">
        <v>1331</v>
      </c>
      <c r="C11" s="35">
        <v>1909</v>
      </c>
      <c r="D11" s="35">
        <v>1166</v>
      </c>
      <c r="E11" s="34">
        <v>295</v>
      </c>
      <c r="F11" s="35">
        <v>1029</v>
      </c>
      <c r="G11" s="35">
        <v>1032</v>
      </c>
      <c r="H11" s="28">
        <v>6762</v>
      </c>
      <c r="I11" s="3">
        <v>38</v>
      </c>
      <c r="J11" s="17">
        <v>6800</v>
      </c>
    </row>
    <row r="12" spans="1:10" x14ac:dyDescent="0.35">
      <c r="A12" s="16" t="s">
        <v>6</v>
      </c>
      <c r="B12" s="35">
        <v>3568</v>
      </c>
      <c r="C12" s="35">
        <v>4897</v>
      </c>
      <c r="D12" s="35">
        <v>3168</v>
      </c>
      <c r="E12" s="34">
        <v>715</v>
      </c>
      <c r="F12" s="35">
        <v>3955</v>
      </c>
      <c r="G12" s="35">
        <v>3832</v>
      </c>
      <c r="H12" s="28">
        <v>20135</v>
      </c>
      <c r="I12" s="3">
        <v>149</v>
      </c>
      <c r="J12" s="17">
        <v>20284</v>
      </c>
    </row>
    <row r="13" spans="1:10" x14ac:dyDescent="0.35">
      <c r="A13" s="16" t="s">
        <v>7</v>
      </c>
      <c r="B13" s="35">
        <v>6643</v>
      </c>
      <c r="C13" s="35">
        <v>8711</v>
      </c>
      <c r="D13" s="35">
        <v>4844</v>
      </c>
      <c r="E13" s="35">
        <v>1501</v>
      </c>
      <c r="F13" s="35">
        <v>4351</v>
      </c>
      <c r="G13" s="35">
        <v>5012</v>
      </c>
      <c r="H13" s="28">
        <v>31062</v>
      </c>
      <c r="I13" s="3">
        <v>299</v>
      </c>
      <c r="J13" s="17">
        <v>31361</v>
      </c>
    </row>
    <row r="14" spans="1:10" x14ac:dyDescent="0.35">
      <c r="A14" s="16" t="s">
        <v>8</v>
      </c>
      <c r="B14" s="35">
        <v>10520</v>
      </c>
      <c r="C14" s="35">
        <v>11062</v>
      </c>
      <c r="D14" s="35">
        <v>3698</v>
      </c>
      <c r="E14" s="35">
        <v>1054</v>
      </c>
      <c r="F14" s="35">
        <v>3701</v>
      </c>
      <c r="G14" s="35">
        <v>2712</v>
      </c>
      <c r="H14" s="28">
        <v>32747</v>
      </c>
      <c r="I14" s="3">
        <v>334</v>
      </c>
      <c r="J14" s="17">
        <v>33081</v>
      </c>
    </row>
    <row r="15" spans="1:10" x14ac:dyDescent="0.35">
      <c r="A15" s="16" t="s">
        <v>9</v>
      </c>
      <c r="B15" s="35">
        <v>7859</v>
      </c>
      <c r="C15" s="35">
        <v>5599</v>
      </c>
      <c r="D15" s="34">
        <v>637</v>
      </c>
      <c r="E15" s="34">
        <v>359</v>
      </c>
      <c r="F15" s="35">
        <v>1094</v>
      </c>
      <c r="G15" s="34">
        <v>572</v>
      </c>
      <c r="H15" s="28">
        <v>16120</v>
      </c>
      <c r="I15" s="3">
        <v>78</v>
      </c>
      <c r="J15" s="17">
        <v>16198</v>
      </c>
    </row>
    <row r="16" spans="1:10" x14ac:dyDescent="0.35">
      <c r="A16" s="16" t="s">
        <v>10</v>
      </c>
      <c r="B16" s="35">
        <v>5914</v>
      </c>
      <c r="C16" s="35">
        <v>2274</v>
      </c>
      <c r="D16" s="34">
        <v>327</v>
      </c>
      <c r="E16" s="34">
        <v>213</v>
      </c>
      <c r="F16" s="35">
        <v>1020</v>
      </c>
      <c r="G16" s="34">
        <v>329</v>
      </c>
      <c r="H16" s="28">
        <v>10077</v>
      </c>
      <c r="I16" s="3">
        <v>42</v>
      </c>
      <c r="J16" s="17">
        <v>10119</v>
      </c>
    </row>
    <row r="17" spans="1:10" x14ac:dyDescent="0.35">
      <c r="A17" s="16" t="s">
        <v>11</v>
      </c>
      <c r="B17" s="34">
        <v>376</v>
      </c>
      <c r="C17" s="34">
        <v>113</v>
      </c>
      <c r="D17" s="34">
        <v>2</v>
      </c>
      <c r="E17" s="34">
        <v>15</v>
      </c>
      <c r="F17" s="34">
        <v>0</v>
      </c>
      <c r="G17" s="34">
        <v>0</v>
      </c>
      <c r="H17" s="28">
        <v>506</v>
      </c>
      <c r="I17" s="3">
        <v>0</v>
      </c>
      <c r="J17" s="17">
        <v>506</v>
      </c>
    </row>
    <row r="18" spans="1:10" x14ac:dyDescent="0.35">
      <c r="A18" s="16" t="s">
        <v>12</v>
      </c>
      <c r="B18" s="35">
        <v>1320</v>
      </c>
      <c r="C18" s="34">
        <v>536</v>
      </c>
      <c r="D18" s="34">
        <v>25</v>
      </c>
      <c r="E18" s="34">
        <v>39</v>
      </c>
      <c r="F18" s="34">
        <v>0</v>
      </c>
      <c r="G18" s="34">
        <v>0</v>
      </c>
      <c r="H18" s="28">
        <v>1920</v>
      </c>
      <c r="I18" s="3">
        <v>32</v>
      </c>
      <c r="J18" s="17">
        <v>1952</v>
      </c>
    </row>
    <row r="19" spans="1:10" x14ac:dyDescent="0.35">
      <c r="A19" s="16" t="s">
        <v>13</v>
      </c>
      <c r="B19" s="35">
        <v>2335</v>
      </c>
      <c r="C19" s="34">
        <v>1214</v>
      </c>
      <c r="D19" s="34">
        <v>31</v>
      </c>
      <c r="E19" s="34">
        <v>80</v>
      </c>
      <c r="F19" s="34">
        <v>0</v>
      </c>
      <c r="G19" s="34">
        <v>0</v>
      </c>
      <c r="H19" s="28">
        <v>3660</v>
      </c>
      <c r="I19" s="3">
        <v>48</v>
      </c>
      <c r="J19" s="17">
        <v>3708</v>
      </c>
    </row>
    <row r="20" spans="1:10" x14ac:dyDescent="0.35">
      <c r="A20" s="16" t="s">
        <v>14</v>
      </c>
      <c r="B20" s="35">
        <v>3094</v>
      </c>
      <c r="C20" s="35">
        <v>1185</v>
      </c>
      <c r="D20" s="34">
        <v>35</v>
      </c>
      <c r="E20" s="34">
        <v>66</v>
      </c>
      <c r="F20" s="34">
        <v>0</v>
      </c>
      <c r="G20" s="34">
        <v>0</v>
      </c>
      <c r="H20" s="28">
        <v>4380</v>
      </c>
      <c r="I20" s="3">
        <v>34</v>
      </c>
      <c r="J20" s="17">
        <v>4414</v>
      </c>
    </row>
    <row r="21" spans="1:10" x14ac:dyDescent="0.35">
      <c r="A21" s="16" t="s">
        <v>15</v>
      </c>
      <c r="B21" s="35">
        <v>1483</v>
      </c>
      <c r="C21" s="34">
        <v>482</v>
      </c>
      <c r="D21" s="34">
        <v>0</v>
      </c>
      <c r="E21" s="34">
        <v>50</v>
      </c>
      <c r="F21" s="34">
        <v>0</v>
      </c>
      <c r="G21" s="34">
        <v>0</v>
      </c>
      <c r="H21" s="28">
        <v>2015</v>
      </c>
      <c r="I21" s="3">
        <v>0</v>
      </c>
      <c r="J21" s="17">
        <v>2015</v>
      </c>
    </row>
    <row r="22" spans="1:10" x14ac:dyDescent="0.35">
      <c r="A22" s="16" t="s">
        <v>41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28">
        <v>0</v>
      </c>
      <c r="I22" s="3">
        <v>0</v>
      </c>
      <c r="J22" s="17">
        <v>0</v>
      </c>
    </row>
    <row r="23" spans="1:10" ht="15" thickBot="1" x14ac:dyDescent="0.4">
      <c r="A23" s="18"/>
      <c r="B23" s="6"/>
      <c r="C23" s="7"/>
      <c r="D23" s="7"/>
      <c r="E23" s="7"/>
      <c r="F23" s="7"/>
      <c r="G23" s="25"/>
      <c r="H23" s="29"/>
      <c r="I23" s="6" t="s">
        <v>38</v>
      </c>
      <c r="J23" s="19"/>
    </row>
    <row r="24" spans="1:10" ht="15" thickBot="1" x14ac:dyDescent="0.4">
      <c r="A24" s="20" t="s">
        <v>16</v>
      </c>
      <c r="B24" s="30">
        <f>SUM(B7:B22)</f>
        <v>44683</v>
      </c>
      <c r="C24" s="30">
        <f>SUM(C7:C22)</f>
        <v>38102</v>
      </c>
      <c r="D24" s="30">
        <f>SUM(D7:D22)</f>
        <v>13984</v>
      </c>
      <c r="E24" s="30">
        <f>SUM(E7:E22)</f>
        <v>4400</v>
      </c>
      <c r="F24" s="30">
        <f>SUM(F7:F22)</f>
        <v>15328</v>
      </c>
      <c r="G24" s="39">
        <f>SUM(G7:G22)</f>
        <v>13570</v>
      </c>
      <c r="H24" s="38">
        <f>SUM(H7:H22)</f>
        <v>130067</v>
      </c>
      <c r="I24" s="30">
        <f>SUM(I7:I22)</f>
        <v>1055</v>
      </c>
      <c r="J24" s="31">
        <f>SUM(J7:J22)</f>
        <v>131122</v>
      </c>
    </row>
    <row r="25" spans="1:10" x14ac:dyDescent="0.35">
      <c r="A25" s="16" t="s">
        <v>17</v>
      </c>
      <c r="B25" s="4">
        <v>2053</v>
      </c>
      <c r="C25" s="5">
        <v>1467</v>
      </c>
      <c r="D25" s="5">
        <v>346</v>
      </c>
      <c r="E25" s="5">
        <v>172</v>
      </c>
      <c r="F25" s="5">
        <v>2020</v>
      </c>
      <c r="G25" s="23">
        <v>955</v>
      </c>
      <c r="H25" s="28">
        <v>7013</v>
      </c>
      <c r="I25" s="4">
        <v>71</v>
      </c>
      <c r="J25" s="21">
        <v>7084</v>
      </c>
    </row>
    <row r="26" spans="1:10" x14ac:dyDescent="0.35">
      <c r="A26" s="16" t="s">
        <v>18</v>
      </c>
      <c r="B26" s="3">
        <v>7212</v>
      </c>
      <c r="C26" s="2">
        <v>5374</v>
      </c>
      <c r="D26" s="2">
        <v>989</v>
      </c>
      <c r="E26" s="2">
        <v>462</v>
      </c>
      <c r="F26" s="2">
        <v>4476</v>
      </c>
      <c r="G26" s="24">
        <v>2843</v>
      </c>
      <c r="H26" s="28">
        <v>21356</v>
      </c>
      <c r="I26" s="3">
        <v>130</v>
      </c>
      <c r="J26" s="21">
        <v>21486</v>
      </c>
    </row>
    <row r="27" spans="1:10" x14ac:dyDescent="0.35">
      <c r="A27" s="16" t="s">
        <v>19</v>
      </c>
      <c r="B27" s="3">
        <v>18189</v>
      </c>
      <c r="C27" s="2">
        <v>13789</v>
      </c>
      <c r="D27" s="2">
        <v>3769</v>
      </c>
      <c r="E27" s="2">
        <v>1093</v>
      </c>
      <c r="F27" s="2">
        <v>15147</v>
      </c>
      <c r="G27" s="24">
        <v>8187</v>
      </c>
      <c r="H27" s="28">
        <v>60174</v>
      </c>
      <c r="I27" s="3">
        <v>672</v>
      </c>
      <c r="J27" s="21">
        <v>60846</v>
      </c>
    </row>
    <row r="28" spans="1:10" x14ac:dyDescent="0.35">
      <c r="A28" s="16" t="s">
        <v>20</v>
      </c>
      <c r="B28" s="3">
        <v>34229</v>
      </c>
      <c r="C28" s="2">
        <v>18923</v>
      </c>
      <c r="D28" s="2">
        <v>10772</v>
      </c>
      <c r="E28" s="2">
        <v>1937</v>
      </c>
      <c r="F28" s="2">
        <v>19614</v>
      </c>
      <c r="G28" s="24">
        <v>12595</v>
      </c>
      <c r="H28" s="28">
        <v>98070</v>
      </c>
      <c r="I28" s="3">
        <v>1525</v>
      </c>
      <c r="J28" s="21">
        <v>99595</v>
      </c>
    </row>
    <row r="29" spans="1:10" x14ac:dyDescent="0.35">
      <c r="A29" s="16" t="s">
        <v>21</v>
      </c>
      <c r="B29" s="3">
        <v>60211</v>
      </c>
      <c r="C29" s="2">
        <v>31630</v>
      </c>
      <c r="D29" s="2">
        <v>14510</v>
      </c>
      <c r="E29" s="2">
        <v>4355</v>
      </c>
      <c r="F29" s="2">
        <v>21184</v>
      </c>
      <c r="G29" s="24">
        <v>12573</v>
      </c>
      <c r="H29" s="28">
        <v>144463</v>
      </c>
      <c r="I29" s="3">
        <v>1630</v>
      </c>
      <c r="J29" s="21">
        <v>146093</v>
      </c>
    </row>
    <row r="30" spans="1:10" x14ac:dyDescent="0.35">
      <c r="A30" s="16" t="s">
        <v>22</v>
      </c>
      <c r="B30" s="3">
        <v>101447</v>
      </c>
      <c r="C30" s="2">
        <v>52408</v>
      </c>
      <c r="D30" s="2">
        <v>7681</v>
      </c>
      <c r="E30" s="2">
        <v>6160</v>
      </c>
      <c r="F30" s="2">
        <v>15006</v>
      </c>
      <c r="G30" s="24">
        <v>11892</v>
      </c>
      <c r="H30" s="28">
        <v>194594</v>
      </c>
      <c r="I30" s="3">
        <v>966</v>
      </c>
      <c r="J30" s="21">
        <v>195560</v>
      </c>
    </row>
    <row r="31" spans="1:10" x14ac:dyDescent="0.35">
      <c r="A31" s="16" t="s">
        <v>23</v>
      </c>
      <c r="B31" s="3">
        <v>34923</v>
      </c>
      <c r="C31" s="2">
        <v>14850</v>
      </c>
      <c r="D31" s="2">
        <v>3715</v>
      </c>
      <c r="E31" s="2">
        <v>14983</v>
      </c>
      <c r="F31" s="2">
        <v>11734</v>
      </c>
      <c r="G31" s="24">
        <v>3782</v>
      </c>
      <c r="H31" s="28">
        <v>83987</v>
      </c>
      <c r="I31" s="3">
        <v>84</v>
      </c>
      <c r="J31" s="21">
        <v>84071</v>
      </c>
    </row>
    <row r="32" spans="1:10" x14ac:dyDescent="0.35">
      <c r="A32" s="16" t="s">
        <v>24</v>
      </c>
      <c r="B32" s="3">
        <v>18082</v>
      </c>
      <c r="C32" s="2">
        <v>6863</v>
      </c>
      <c r="D32" s="2">
        <v>1121</v>
      </c>
      <c r="E32" s="2">
        <v>3167</v>
      </c>
      <c r="F32" s="2">
        <v>645</v>
      </c>
      <c r="G32" s="24">
        <v>661</v>
      </c>
      <c r="H32" s="28">
        <v>30539</v>
      </c>
      <c r="I32" s="3">
        <v>0</v>
      </c>
      <c r="J32" s="21">
        <v>30539</v>
      </c>
    </row>
    <row r="33" spans="1:10" x14ac:dyDescent="0.35">
      <c r="A33" s="16" t="s">
        <v>25</v>
      </c>
      <c r="B33" s="2">
        <v>13934</v>
      </c>
      <c r="C33" s="2">
        <v>6315</v>
      </c>
      <c r="D33" s="2">
        <v>621</v>
      </c>
      <c r="E33" s="2">
        <v>1165</v>
      </c>
      <c r="F33" s="2">
        <v>1854</v>
      </c>
      <c r="G33" s="24">
        <v>1308</v>
      </c>
      <c r="H33" s="28">
        <v>25197</v>
      </c>
      <c r="I33" s="3">
        <v>0</v>
      </c>
      <c r="J33" s="21">
        <v>25197</v>
      </c>
    </row>
    <row r="34" spans="1:10" x14ac:dyDescent="0.35">
      <c r="A34" s="16" t="s">
        <v>40</v>
      </c>
      <c r="B34" s="34">
        <v>0</v>
      </c>
      <c r="C34" s="34">
        <v>0</v>
      </c>
      <c r="D34" s="34">
        <v>0</v>
      </c>
      <c r="E34" s="34">
        <v>0</v>
      </c>
      <c r="F34" s="34">
        <v>1</v>
      </c>
      <c r="G34" s="34">
        <v>0</v>
      </c>
      <c r="H34" s="28">
        <v>1</v>
      </c>
      <c r="I34" s="3">
        <v>11</v>
      </c>
      <c r="J34" s="17">
        <v>12</v>
      </c>
    </row>
    <row r="35" spans="1:10" ht="15" thickBot="1" x14ac:dyDescent="0.4">
      <c r="A35" s="16"/>
      <c r="B35" s="8"/>
      <c r="C35" s="41"/>
      <c r="D35" s="41"/>
      <c r="E35" s="41"/>
      <c r="F35" s="41"/>
      <c r="G35" s="40"/>
      <c r="H35" s="28"/>
      <c r="I35" s="3"/>
      <c r="J35" s="21"/>
    </row>
    <row r="36" spans="1:10" ht="15" thickBot="1" x14ac:dyDescent="0.4">
      <c r="A36" s="20" t="s">
        <v>26</v>
      </c>
      <c r="B36" s="30">
        <f>SUM(B25:B34)</f>
        <v>290280</v>
      </c>
      <c r="C36" s="30">
        <f>SUM(C25:C34)</f>
        <v>151619</v>
      </c>
      <c r="D36" s="30">
        <f>SUM(D25:D34)</f>
        <v>43524</v>
      </c>
      <c r="E36" s="30">
        <f>SUM(E25:E34)</f>
        <v>33494</v>
      </c>
      <c r="F36" s="30">
        <f>SUM(F25:F34)</f>
        <v>91681</v>
      </c>
      <c r="G36" s="39">
        <f>SUM(G25:G34)</f>
        <v>54796</v>
      </c>
      <c r="H36" s="38">
        <f>SUM(H25:H34)</f>
        <v>665394</v>
      </c>
      <c r="I36" s="30">
        <f>SUM(I25:I34)</f>
        <v>5089</v>
      </c>
      <c r="J36" s="31">
        <f>SUM(J25:J34)</f>
        <v>670483</v>
      </c>
    </row>
    <row r="37" spans="1:10" ht="15.5" thickTop="1" thickBot="1" x14ac:dyDescent="0.4">
      <c r="A37" s="9" t="s">
        <v>27</v>
      </c>
      <c r="B37" s="32">
        <f>SUM(B24,B36)</f>
        <v>334963</v>
      </c>
      <c r="C37" s="32">
        <f>SUM(C24,C36)</f>
        <v>189721</v>
      </c>
      <c r="D37" s="32">
        <f>SUM(D24,D36)</f>
        <v>57508</v>
      </c>
      <c r="E37" s="32">
        <f>SUM(E24,E36)</f>
        <v>37894</v>
      </c>
      <c r="F37" s="32">
        <f>SUM(F24,F36)</f>
        <v>107009</v>
      </c>
      <c r="G37" s="33">
        <f>SUM(G24,G36)</f>
        <v>68366</v>
      </c>
      <c r="H37" s="37">
        <f>SUM(H24,H36)</f>
        <v>795461</v>
      </c>
      <c r="I37" s="32">
        <f>SUM(I24,I36)</f>
        <v>6144</v>
      </c>
      <c r="J37" s="36">
        <f>SUM(J24,J36)</f>
        <v>801605</v>
      </c>
    </row>
    <row r="38" spans="1:10" ht="15" thickTop="1" x14ac:dyDescent="0.35">
      <c r="B38" s="10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5" x14ac:dyDescent="0.45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5" x14ac:dyDescent="0.45">
      <c r="A3" s="48" t="s">
        <v>44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" thickBot="1" x14ac:dyDescent="0.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29.5" thickBot="1" x14ac:dyDescent="0.4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7" t="s">
        <v>36</v>
      </c>
      <c r="I6" s="26" t="s">
        <v>39</v>
      </c>
      <c r="J6" s="15" t="s">
        <v>37</v>
      </c>
    </row>
    <row r="7" spans="1:10" ht="15" thickTop="1" x14ac:dyDescent="0.35">
      <c r="A7" s="16" t="s">
        <v>1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28">
        <v>1</v>
      </c>
      <c r="I7" s="4">
        <v>0</v>
      </c>
      <c r="J7" s="17">
        <v>1</v>
      </c>
    </row>
    <row r="8" spans="1:10" x14ac:dyDescent="0.35">
      <c r="A8" s="16" t="s">
        <v>2</v>
      </c>
      <c r="B8" s="34">
        <v>3</v>
      </c>
      <c r="C8" s="34">
        <v>0</v>
      </c>
      <c r="D8" s="34">
        <v>0</v>
      </c>
      <c r="E8" s="34">
        <v>1</v>
      </c>
      <c r="F8" s="34">
        <v>2</v>
      </c>
      <c r="G8" s="34">
        <v>0</v>
      </c>
      <c r="H8" s="28">
        <v>6</v>
      </c>
      <c r="I8" s="3">
        <v>0</v>
      </c>
      <c r="J8" s="17">
        <v>6</v>
      </c>
    </row>
    <row r="9" spans="1:10" x14ac:dyDescent="0.35">
      <c r="A9" s="16" t="s">
        <v>3</v>
      </c>
      <c r="B9" s="34">
        <v>74</v>
      </c>
      <c r="C9" s="34">
        <v>35</v>
      </c>
      <c r="D9" s="34">
        <v>16</v>
      </c>
      <c r="E9" s="34">
        <v>5</v>
      </c>
      <c r="F9" s="34">
        <v>43</v>
      </c>
      <c r="G9" s="34">
        <v>26</v>
      </c>
      <c r="H9" s="28">
        <v>199</v>
      </c>
      <c r="I9" s="3">
        <v>1</v>
      </c>
      <c r="J9" s="17">
        <v>200</v>
      </c>
    </row>
    <row r="10" spans="1:10" x14ac:dyDescent="0.35">
      <c r="A10" s="16" t="s">
        <v>4</v>
      </c>
      <c r="B10" s="34">
        <v>172</v>
      </c>
      <c r="C10" s="34">
        <v>84</v>
      </c>
      <c r="D10" s="34">
        <v>35</v>
      </c>
      <c r="E10" s="34">
        <v>7</v>
      </c>
      <c r="F10" s="34">
        <v>133</v>
      </c>
      <c r="G10" s="34">
        <v>54</v>
      </c>
      <c r="H10" s="28">
        <v>485</v>
      </c>
      <c r="I10" s="3">
        <v>0</v>
      </c>
      <c r="J10" s="17">
        <v>485</v>
      </c>
    </row>
    <row r="11" spans="1:10" x14ac:dyDescent="0.35">
      <c r="A11" s="16" t="s">
        <v>5</v>
      </c>
      <c r="B11" s="35">
        <v>1308</v>
      </c>
      <c r="C11" s="35">
        <v>1804</v>
      </c>
      <c r="D11" s="35">
        <v>1209</v>
      </c>
      <c r="E11" s="34">
        <v>286</v>
      </c>
      <c r="F11" s="35">
        <v>1029</v>
      </c>
      <c r="G11" s="35">
        <v>1021</v>
      </c>
      <c r="H11" s="28">
        <v>6657</v>
      </c>
      <c r="I11" s="3">
        <v>39</v>
      </c>
      <c r="J11" s="17">
        <v>6696</v>
      </c>
    </row>
    <row r="12" spans="1:10" x14ac:dyDescent="0.35">
      <c r="A12" s="16" t="s">
        <v>6</v>
      </c>
      <c r="B12" s="35">
        <v>3575</v>
      </c>
      <c r="C12" s="35">
        <v>4748</v>
      </c>
      <c r="D12" s="35">
        <v>3233</v>
      </c>
      <c r="E12" s="34">
        <v>711</v>
      </c>
      <c r="F12" s="35">
        <v>3940</v>
      </c>
      <c r="G12" s="35">
        <v>3792</v>
      </c>
      <c r="H12" s="28">
        <v>19999</v>
      </c>
      <c r="I12" s="3">
        <v>148</v>
      </c>
      <c r="J12" s="17">
        <v>20147</v>
      </c>
    </row>
    <row r="13" spans="1:10" x14ac:dyDescent="0.35">
      <c r="A13" s="16" t="s">
        <v>7</v>
      </c>
      <c r="B13" s="35">
        <v>6721</v>
      </c>
      <c r="C13" s="35">
        <v>8764</v>
      </c>
      <c r="D13" s="35">
        <v>4934</v>
      </c>
      <c r="E13" s="35">
        <v>1529</v>
      </c>
      <c r="F13" s="35">
        <v>4348</v>
      </c>
      <c r="G13" s="35">
        <v>5038</v>
      </c>
      <c r="H13" s="28">
        <v>31334</v>
      </c>
      <c r="I13" s="3">
        <v>298</v>
      </c>
      <c r="J13" s="17">
        <v>31632</v>
      </c>
    </row>
    <row r="14" spans="1:10" x14ac:dyDescent="0.35">
      <c r="A14" s="16" t="s">
        <v>8</v>
      </c>
      <c r="B14" s="35">
        <v>10610</v>
      </c>
      <c r="C14" s="35">
        <v>11040</v>
      </c>
      <c r="D14" s="35">
        <v>3583</v>
      </c>
      <c r="E14" s="35">
        <v>1050</v>
      </c>
      <c r="F14" s="35">
        <v>3670</v>
      </c>
      <c r="G14" s="35">
        <v>2701</v>
      </c>
      <c r="H14" s="28">
        <v>32654</v>
      </c>
      <c r="I14" s="3">
        <v>334</v>
      </c>
      <c r="J14" s="17">
        <v>32988</v>
      </c>
    </row>
    <row r="15" spans="1:10" x14ac:dyDescent="0.35">
      <c r="A15" s="16" t="s">
        <v>9</v>
      </c>
      <c r="B15" s="35">
        <v>7666</v>
      </c>
      <c r="C15" s="35">
        <v>5671</v>
      </c>
      <c r="D15" s="34">
        <v>568</v>
      </c>
      <c r="E15" s="34">
        <v>340</v>
      </c>
      <c r="F15" s="35">
        <v>1151</v>
      </c>
      <c r="G15" s="34">
        <v>585</v>
      </c>
      <c r="H15" s="28">
        <v>15981</v>
      </c>
      <c r="I15" s="3">
        <v>79</v>
      </c>
      <c r="J15" s="17">
        <v>16060</v>
      </c>
    </row>
    <row r="16" spans="1:10" x14ac:dyDescent="0.35">
      <c r="A16" s="16" t="s">
        <v>10</v>
      </c>
      <c r="B16" s="35">
        <v>6038</v>
      </c>
      <c r="C16" s="35">
        <v>2251</v>
      </c>
      <c r="D16" s="34">
        <v>346</v>
      </c>
      <c r="E16" s="34">
        <v>221</v>
      </c>
      <c r="F16" s="35">
        <v>1048</v>
      </c>
      <c r="G16" s="34">
        <v>343</v>
      </c>
      <c r="H16" s="28">
        <v>10247</v>
      </c>
      <c r="I16" s="3">
        <v>40</v>
      </c>
      <c r="J16" s="17">
        <v>10287</v>
      </c>
    </row>
    <row r="17" spans="1:10" x14ac:dyDescent="0.35">
      <c r="A17" s="16" t="s">
        <v>11</v>
      </c>
      <c r="B17" s="34">
        <v>388</v>
      </c>
      <c r="C17" s="34">
        <v>113</v>
      </c>
      <c r="D17" s="34">
        <v>2</v>
      </c>
      <c r="E17" s="34">
        <v>15</v>
      </c>
      <c r="F17" s="34">
        <v>0</v>
      </c>
      <c r="G17" s="34">
        <v>0</v>
      </c>
      <c r="H17" s="28">
        <v>518</v>
      </c>
      <c r="I17" s="3">
        <v>0</v>
      </c>
      <c r="J17" s="17">
        <v>518</v>
      </c>
    </row>
    <row r="18" spans="1:10" x14ac:dyDescent="0.35">
      <c r="A18" s="16" t="s">
        <v>12</v>
      </c>
      <c r="B18" s="35">
        <v>1334</v>
      </c>
      <c r="C18" s="34">
        <v>529</v>
      </c>
      <c r="D18" s="34">
        <v>24</v>
      </c>
      <c r="E18" s="34">
        <v>39</v>
      </c>
      <c r="F18" s="34">
        <v>0</v>
      </c>
      <c r="G18" s="34">
        <v>0</v>
      </c>
      <c r="H18" s="28">
        <v>1926</v>
      </c>
      <c r="I18" s="3">
        <v>31</v>
      </c>
      <c r="J18" s="17">
        <v>1957</v>
      </c>
    </row>
    <row r="19" spans="1:10" x14ac:dyDescent="0.35">
      <c r="A19" s="16" t="s">
        <v>13</v>
      </c>
      <c r="B19" s="35">
        <v>2379</v>
      </c>
      <c r="C19" s="34">
        <v>1221</v>
      </c>
      <c r="D19" s="34">
        <v>31</v>
      </c>
      <c r="E19" s="34">
        <v>80</v>
      </c>
      <c r="F19" s="34">
        <v>0</v>
      </c>
      <c r="G19" s="34">
        <v>0</v>
      </c>
      <c r="H19" s="28">
        <v>3711</v>
      </c>
      <c r="I19" s="3">
        <v>49</v>
      </c>
      <c r="J19" s="17">
        <v>3760</v>
      </c>
    </row>
    <row r="20" spans="1:10" x14ac:dyDescent="0.35">
      <c r="A20" s="16" t="s">
        <v>14</v>
      </c>
      <c r="B20" s="35">
        <v>2982</v>
      </c>
      <c r="C20" s="35">
        <v>1188</v>
      </c>
      <c r="D20" s="34">
        <v>35</v>
      </c>
      <c r="E20" s="34">
        <v>65</v>
      </c>
      <c r="F20" s="34">
        <v>0</v>
      </c>
      <c r="G20" s="34">
        <v>0</v>
      </c>
      <c r="H20" s="28">
        <v>4270</v>
      </c>
      <c r="I20" s="3">
        <v>34</v>
      </c>
      <c r="J20" s="17">
        <v>4304</v>
      </c>
    </row>
    <row r="21" spans="1:10" x14ac:dyDescent="0.35">
      <c r="A21" s="16" t="s">
        <v>15</v>
      </c>
      <c r="B21" s="35">
        <v>1509</v>
      </c>
      <c r="C21" s="34">
        <v>473</v>
      </c>
      <c r="D21" s="34">
        <v>0</v>
      </c>
      <c r="E21" s="34">
        <v>50</v>
      </c>
      <c r="F21" s="34">
        <v>0</v>
      </c>
      <c r="G21" s="34">
        <v>0</v>
      </c>
      <c r="H21" s="28">
        <v>2032</v>
      </c>
      <c r="I21" s="3">
        <v>0</v>
      </c>
      <c r="J21" s="17">
        <v>2032</v>
      </c>
    </row>
    <row r="22" spans="1:10" x14ac:dyDescent="0.35">
      <c r="A22" s="16" t="s">
        <v>41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28">
        <v>0</v>
      </c>
      <c r="I22" s="3">
        <v>0</v>
      </c>
      <c r="J22" s="17">
        <v>0</v>
      </c>
    </row>
    <row r="23" spans="1:10" ht="15" thickBot="1" x14ac:dyDescent="0.4">
      <c r="A23" s="18"/>
      <c r="B23" s="6"/>
      <c r="C23" s="7"/>
      <c r="D23" s="7"/>
      <c r="E23" s="7"/>
      <c r="F23" s="7"/>
      <c r="G23" s="25"/>
      <c r="H23" s="29"/>
      <c r="I23" s="6" t="s">
        <v>38</v>
      </c>
      <c r="J23" s="19"/>
    </row>
    <row r="24" spans="1:10" ht="15" thickBot="1" x14ac:dyDescent="0.4">
      <c r="A24" s="20" t="s">
        <v>16</v>
      </c>
      <c r="B24" s="30">
        <f t="shared" ref="B24:J24" si="0">SUM(B7:B22)</f>
        <v>44759</v>
      </c>
      <c r="C24" s="30">
        <f t="shared" si="0"/>
        <v>37921</v>
      </c>
      <c r="D24" s="30">
        <f t="shared" si="0"/>
        <v>14016</v>
      </c>
      <c r="E24" s="30">
        <f t="shared" si="0"/>
        <v>4399</v>
      </c>
      <c r="F24" s="30">
        <f t="shared" si="0"/>
        <v>15365</v>
      </c>
      <c r="G24" s="39">
        <f t="shared" si="0"/>
        <v>13560</v>
      </c>
      <c r="H24" s="38">
        <f t="shared" si="0"/>
        <v>130020</v>
      </c>
      <c r="I24" s="30">
        <f t="shared" si="0"/>
        <v>1053</v>
      </c>
      <c r="J24" s="31">
        <f t="shared" si="0"/>
        <v>131073</v>
      </c>
    </row>
    <row r="25" spans="1:10" x14ac:dyDescent="0.35">
      <c r="A25" s="16" t="s">
        <v>17</v>
      </c>
      <c r="B25" s="4">
        <v>2049</v>
      </c>
      <c r="C25" s="5">
        <v>1462</v>
      </c>
      <c r="D25" s="5">
        <v>348</v>
      </c>
      <c r="E25" s="5">
        <v>169</v>
      </c>
      <c r="F25" s="5">
        <v>2038</v>
      </c>
      <c r="G25" s="23">
        <v>956</v>
      </c>
      <c r="H25" s="28">
        <v>7022</v>
      </c>
      <c r="I25" s="4">
        <v>70</v>
      </c>
      <c r="J25" s="21">
        <v>7092</v>
      </c>
    </row>
    <row r="26" spans="1:10" x14ac:dyDescent="0.35">
      <c r="A26" s="16" t="s">
        <v>18</v>
      </c>
      <c r="B26" s="3">
        <v>7246</v>
      </c>
      <c r="C26" s="2">
        <v>5366</v>
      </c>
      <c r="D26" s="2">
        <v>1020</v>
      </c>
      <c r="E26" s="2">
        <v>465</v>
      </c>
      <c r="F26" s="2">
        <v>4473</v>
      </c>
      <c r="G26" s="24">
        <v>2823</v>
      </c>
      <c r="H26" s="28">
        <v>21393</v>
      </c>
      <c r="I26" s="3">
        <v>127</v>
      </c>
      <c r="J26" s="21">
        <v>21520</v>
      </c>
    </row>
    <row r="27" spans="1:10" x14ac:dyDescent="0.35">
      <c r="A27" s="16" t="s">
        <v>19</v>
      </c>
      <c r="B27" s="3">
        <v>18209</v>
      </c>
      <c r="C27" s="2">
        <v>13697</v>
      </c>
      <c r="D27" s="2">
        <v>3726</v>
      </c>
      <c r="E27" s="2">
        <v>1111</v>
      </c>
      <c r="F27" s="2">
        <v>15129</v>
      </c>
      <c r="G27" s="24">
        <v>8170</v>
      </c>
      <c r="H27" s="28">
        <v>60042</v>
      </c>
      <c r="I27" s="3">
        <v>673</v>
      </c>
      <c r="J27" s="21">
        <v>60715</v>
      </c>
    </row>
    <row r="28" spans="1:10" x14ac:dyDescent="0.35">
      <c r="A28" s="16" t="s">
        <v>20</v>
      </c>
      <c r="B28" s="3">
        <v>34411</v>
      </c>
      <c r="C28" s="2">
        <v>18768</v>
      </c>
      <c r="D28" s="2">
        <v>10877</v>
      </c>
      <c r="E28" s="2">
        <v>1922</v>
      </c>
      <c r="F28" s="2">
        <v>19652</v>
      </c>
      <c r="G28" s="24">
        <v>12663</v>
      </c>
      <c r="H28" s="28">
        <v>98293</v>
      </c>
      <c r="I28" s="3">
        <v>1522</v>
      </c>
      <c r="J28" s="21">
        <v>99815</v>
      </c>
    </row>
    <row r="29" spans="1:10" x14ac:dyDescent="0.35">
      <c r="A29" s="16" t="s">
        <v>21</v>
      </c>
      <c r="B29" s="3">
        <v>59889</v>
      </c>
      <c r="C29" s="2">
        <v>32068</v>
      </c>
      <c r="D29" s="2">
        <v>14645</v>
      </c>
      <c r="E29" s="2">
        <v>4321</v>
      </c>
      <c r="F29" s="2">
        <v>21201</v>
      </c>
      <c r="G29" s="24">
        <v>12609</v>
      </c>
      <c r="H29" s="28">
        <v>144733</v>
      </c>
      <c r="I29" s="3">
        <v>1638</v>
      </c>
      <c r="J29" s="21">
        <v>146371</v>
      </c>
    </row>
    <row r="30" spans="1:10" x14ac:dyDescent="0.35">
      <c r="A30" s="16" t="s">
        <v>22</v>
      </c>
      <c r="B30" s="3">
        <v>101184</v>
      </c>
      <c r="C30" s="2">
        <v>52223</v>
      </c>
      <c r="D30" s="2">
        <v>7634</v>
      </c>
      <c r="E30" s="2">
        <v>6044</v>
      </c>
      <c r="F30" s="2">
        <v>14782</v>
      </c>
      <c r="G30" s="24">
        <v>11835</v>
      </c>
      <c r="H30" s="28">
        <v>193702</v>
      </c>
      <c r="I30" s="3">
        <v>962</v>
      </c>
      <c r="J30" s="21">
        <v>194664</v>
      </c>
    </row>
    <row r="31" spans="1:10" x14ac:dyDescent="0.35">
      <c r="A31" s="16" t="s">
        <v>23</v>
      </c>
      <c r="B31" s="3">
        <v>35146</v>
      </c>
      <c r="C31" s="2">
        <v>15006</v>
      </c>
      <c r="D31" s="2">
        <v>3623</v>
      </c>
      <c r="E31" s="2">
        <v>14961</v>
      </c>
      <c r="F31" s="2">
        <v>11927</v>
      </c>
      <c r="G31" s="24">
        <v>3829</v>
      </c>
      <c r="H31" s="28">
        <v>84492</v>
      </c>
      <c r="I31" s="3">
        <v>95</v>
      </c>
      <c r="J31" s="21">
        <v>84587</v>
      </c>
    </row>
    <row r="32" spans="1:10" x14ac:dyDescent="0.35">
      <c r="A32" s="16" t="s">
        <v>24</v>
      </c>
      <c r="B32" s="3">
        <v>18217</v>
      </c>
      <c r="C32" s="2">
        <v>6359</v>
      </c>
      <c r="D32" s="2">
        <v>1082</v>
      </c>
      <c r="E32" s="2">
        <v>3479</v>
      </c>
      <c r="F32" s="2">
        <v>675</v>
      </c>
      <c r="G32" s="24">
        <v>639</v>
      </c>
      <c r="H32" s="28">
        <v>30451</v>
      </c>
      <c r="I32" s="3">
        <v>1</v>
      </c>
      <c r="J32" s="21">
        <v>30452</v>
      </c>
    </row>
    <row r="33" spans="1:10" x14ac:dyDescent="0.35">
      <c r="A33" s="16" t="s">
        <v>25</v>
      </c>
      <c r="B33" s="2">
        <v>13349</v>
      </c>
      <c r="C33" s="2">
        <v>6517</v>
      </c>
      <c r="D33" s="2">
        <v>674</v>
      </c>
      <c r="E33" s="2">
        <v>1362</v>
      </c>
      <c r="F33" s="2">
        <v>1669</v>
      </c>
      <c r="G33" s="24">
        <v>1347</v>
      </c>
      <c r="H33" s="28">
        <v>24918</v>
      </c>
      <c r="I33" s="3">
        <v>0</v>
      </c>
      <c r="J33" s="21">
        <v>24918</v>
      </c>
    </row>
    <row r="34" spans="1:10" x14ac:dyDescent="0.35">
      <c r="A34" s="16" t="s">
        <v>40</v>
      </c>
      <c r="B34" s="34">
        <v>0</v>
      </c>
      <c r="C34" s="34">
        <v>0</v>
      </c>
      <c r="D34" s="34">
        <v>0</v>
      </c>
      <c r="E34" s="34">
        <v>0</v>
      </c>
      <c r="F34" s="34">
        <v>1</v>
      </c>
      <c r="G34" s="34">
        <v>0</v>
      </c>
      <c r="H34" s="28">
        <v>1</v>
      </c>
      <c r="I34" s="3">
        <v>0</v>
      </c>
      <c r="J34" s="17">
        <v>1</v>
      </c>
    </row>
    <row r="35" spans="1:10" ht="15" thickBot="1" x14ac:dyDescent="0.4">
      <c r="A35" s="16"/>
      <c r="B35" s="8"/>
      <c r="C35" s="41"/>
      <c r="D35" s="41"/>
      <c r="E35" s="41"/>
      <c r="F35" s="41"/>
      <c r="G35" s="40"/>
      <c r="H35" s="28"/>
      <c r="I35" s="3"/>
      <c r="J35" s="21"/>
    </row>
    <row r="36" spans="1:10" ht="15" thickBot="1" x14ac:dyDescent="0.4">
      <c r="A36" s="20" t="s">
        <v>26</v>
      </c>
      <c r="B36" s="30">
        <f t="shared" ref="B36:J36" si="1">SUM(B25:B34)</f>
        <v>289700</v>
      </c>
      <c r="C36" s="30">
        <f t="shared" si="1"/>
        <v>151466</v>
      </c>
      <c r="D36" s="30">
        <f t="shared" si="1"/>
        <v>43629</v>
      </c>
      <c r="E36" s="30">
        <f t="shared" si="1"/>
        <v>33834</v>
      </c>
      <c r="F36" s="30">
        <f t="shared" si="1"/>
        <v>91547</v>
      </c>
      <c r="G36" s="39">
        <f t="shared" si="1"/>
        <v>54871</v>
      </c>
      <c r="H36" s="38">
        <f t="shared" si="1"/>
        <v>665047</v>
      </c>
      <c r="I36" s="30">
        <f t="shared" si="1"/>
        <v>5088</v>
      </c>
      <c r="J36" s="31">
        <f t="shared" si="1"/>
        <v>670135</v>
      </c>
    </row>
    <row r="37" spans="1:10" ht="15.5" thickTop="1" thickBot="1" x14ac:dyDescent="0.4">
      <c r="A37" s="9" t="s">
        <v>27</v>
      </c>
      <c r="B37" s="32">
        <f t="shared" ref="B37:J37" si="2">SUM(B24,B36)</f>
        <v>334459</v>
      </c>
      <c r="C37" s="32">
        <f t="shared" si="2"/>
        <v>189387</v>
      </c>
      <c r="D37" s="32">
        <f t="shared" si="2"/>
        <v>57645</v>
      </c>
      <c r="E37" s="32">
        <f t="shared" si="2"/>
        <v>38233</v>
      </c>
      <c r="F37" s="32">
        <f t="shared" si="2"/>
        <v>106912</v>
      </c>
      <c r="G37" s="33">
        <f t="shared" si="2"/>
        <v>68431</v>
      </c>
      <c r="H37" s="37">
        <f t="shared" si="2"/>
        <v>795067</v>
      </c>
      <c r="I37" s="32">
        <f t="shared" si="2"/>
        <v>6141</v>
      </c>
      <c r="J37" s="36">
        <f t="shared" si="2"/>
        <v>801208</v>
      </c>
    </row>
    <row r="38" spans="1:10" ht="15" thickTop="1" x14ac:dyDescent="0.35">
      <c r="B38" s="10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5" x14ac:dyDescent="0.45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5" x14ac:dyDescent="0.45">
      <c r="A3" s="48" t="s">
        <v>51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" thickBot="1" x14ac:dyDescent="0.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29.5" thickBot="1" x14ac:dyDescent="0.4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7" t="s">
        <v>36</v>
      </c>
      <c r="I6" s="26" t="s">
        <v>39</v>
      </c>
      <c r="J6" s="15" t="s">
        <v>37</v>
      </c>
    </row>
    <row r="7" spans="1:10" ht="15" thickTop="1" x14ac:dyDescent="0.35">
      <c r="A7" s="16" t="s">
        <v>1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28">
        <v>1</v>
      </c>
      <c r="I7" s="4">
        <v>0</v>
      </c>
      <c r="J7" s="17">
        <v>1</v>
      </c>
    </row>
    <row r="8" spans="1:10" x14ac:dyDescent="0.35">
      <c r="A8" s="16" t="s">
        <v>2</v>
      </c>
      <c r="B8" s="34">
        <v>3</v>
      </c>
      <c r="C8" s="34">
        <v>0</v>
      </c>
      <c r="D8" s="34">
        <v>0</v>
      </c>
      <c r="E8" s="34">
        <v>1</v>
      </c>
      <c r="F8" s="34">
        <v>2</v>
      </c>
      <c r="G8" s="34">
        <v>0</v>
      </c>
      <c r="H8" s="28">
        <v>6</v>
      </c>
      <c r="I8" s="3">
        <v>0</v>
      </c>
      <c r="J8" s="17">
        <v>6</v>
      </c>
    </row>
    <row r="9" spans="1:10" x14ac:dyDescent="0.35">
      <c r="A9" s="16" t="s">
        <v>3</v>
      </c>
      <c r="B9" s="34">
        <v>80</v>
      </c>
      <c r="C9" s="34">
        <v>34</v>
      </c>
      <c r="D9" s="34">
        <v>16</v>
      </c>
      <c r="E9" s="34">
        <v>6</v>
      </c>
      <c r="F9" s="34">
        <v>43</v>
      </c>
      <c r="G9" s="34">
        <v>25</v>
      </c>
      <c r="H9" s="28">
        <v>204</v>
      </c>
      <c r="I9" s="3">
        <v>1</v>
      </c>
      <c r="J9" s="17">
        <v>205</v>
      </c>
    </row>
    <row r="10" spans="1:10" x14ac:dyDescent="0.35">
      <c r="A10" s="16" t="s">
        <v>4</v>
      </c>
      <c r="B10" s="34">
        <v>164</v>
      </c>
      <c r="C10" s="34">
        <v>88</v>
      </c>
      <c r="D10" s="34">
        <v>35</v>
      </c>
      <c r="E10" s="34">
        <v>6</v>
      </c>
      <c r="F10" s="34">
        <v>132</v>
      </c>
      <c r="G10" s="34">
        <v>52</v>
      </c>
      <c r="H10" s="28">
        <v>477</v>
      </c>
      <c r="I10" s="3">
        <v>1</v>
      </c>
      <c r="J10" s="17">
        <v>478</v>
      </c>
    </row>
    <row r="11" spans="1:10" x14ac:dyDescent="0.35">
      <c r="A11" s="16" t="s">
        <v>5</v>
      </c>
      <c r="B11" s="35">
        <v>1295</v>
      </c>
      <c r="C11" s="35">
        <v>1828</v>
      </c>
      <c r="D11" s="35">
        <v>1194</v>
      </c>
      <c r="E11" s="34">
        <v>283</v>
      </c>
      <c r="F11" s="35">
        <v>1049</v>
      </c>
      <c r="G11" s="35">
        <v>1006</v>
      </c>
      <c r="H11" s="28">
        <v>6655</v>
      </c>
      <c r="I11" s="3">
        <v>36</v>
      </c>
      <c r="J11" s="17">
        <v>6691</v>
      </c>
    </row>
    <row r="12" spans="1:10" x14ac:dyDescent="0.35">
      <c r="A12" s="16" t="s">
        <v>6</v>
      </c>
      <c r="B12" s="35">
        <v>3546</v>
      </c>
      <c r="C12" s="35">
        <v>4774</v>
      </c>
      <c r="D12" s="35">
        <v>3234</v>
      </c>
      <c r="E12" s="34">
        <v>705</v>
      </c>
      <c r="F12" s="35">
        <v>3955</v>
      </c>
      <c r="G12" s="35">
        <v>3760</v>
      </c>
      <c r="H12" s="28">
        <v>19974</v>
      </c>
      <c r="I12" s="3">
        <v>137</v>
      </c>
      <c r="J12" s="17">
        <v>20111</v>
      </c>
    </row>
    <row r="13" spans="1:10" x14ac:dyDescent="0.35">
      <c r="A13" s="16" t="s">
        <v>7</v>
      </c>
      <c r="B13" s="35">
        <v>6708</v>
      </c>
      <c r="C13" s="35">
        <v>8699</v>
      </c>
      <c r="D13" s="35">
        <v>4924</v>
      </c>
      <c r="E13" s="35">
        <v>1524</v>
      </c>
      <c r="F13" s="35">
        <v>4315</v>
      </c>
      <c r="G13" s="35">
        <v>5091</v>
      </c>
      <c r="H13" s="28">
        <v>31261</v>
      </c>
      <c r="I13" s="3">
        <v>324</v>
      </c>
      <c r="J13" s="17">
        <v>31585</v>
      </c>
    </row>
    <row r="14" spans="1:10" x14ac:dyDescent="0.35">
      <c r="A14" s="16" t="s">
        <v>8</v>
      </c>
      <c r="B14" s="35">
        <v>10585</v>
      </c>
      <c r="C14" s="35">
        <v>11036</v>
      </c>
      <c r="D14" s="35">
        <v>3583</v>
      </c>
      <c r="E14" s="35">
        <v>1113</v>
      </c>
      <c r="F14" s="35">
        <v>3628</v>
      </c>
      <c r="G14" s="35">
        <v>2693</v>
      </c>
      <c r="H14" s="28">
        <v>32638</v>
      </c>
      <c r="I14" s="3">
        <v>309</v>
      </c>
      <c r="J14" s="17">
        <v>32947</v>
      </c>
    </row>
    <row r="15" spans="1:10" x14ac:dyDescent="0.35">
      <c r="A15" s="16" t="s">
        <v>9</v>
      </c>
      <c r="B15" s="35">
        <v>7881</v>
      </c>
      <c r="C15" s="35">
        <v>5611</v>
      </c>
      <c r="D15" s="34">
        <v>579</v>
      </c>
      <c r="E15" s="34">
        <v>324</v>
      </c>
      <c r="F15" s="35">
        <v>1129</v>
      </c>
      <c r="G15" s="34">
        <v>580</v>
      </c>
      <c r="H15" s="28">
        <v>16104</v>
      </c>
      <c r="I15" s="3">
        <v>62</v>
      </c>
      <c r="J15" s="17">
        <v>16166</v>
      </c>
    </row>
    <row r="16" spans="1:10" x14ac:dyDescent="0.35">
      <c r="A16" s="16" t="s">
        <v>10</v>
      </c>
      <c r="B16" s="35">
        <v>6048</v>
      </c>
      <c r="C16" s="35">
        <v>2208</v>
      </c>
      <c r="D16" s="34">
        <v>372</v>
      </c>
      <c r="E16" s="34">
        <v>221</v>
      </c>
      <c r="F16" s="35">
        <v>1082</v>
      </c>
      <c r="G16" s="34">
        <v>353</v>
      </c>
      <c r="H16" s="28">
        <v>10284</v>
      </c>
      <c r="I16" s="3">
        <v>42</v>
      </c>
      <c r="J16" s="17">
        <v>10326</v>
      </c>
    </row>
    <row r="17" spans="1:10" x14ac:dyDescent="0.35">
      <c r="A17" s="16" t="s">
        <v>11</v>
      </c>
      <c r="B17" s="34">
        <v>387</v>
      </c>
      <c r="C17" s="34">
        <v>111</v>
      </c>
      <c r="D17" s="34">
        <v>2</v>
      </c>
      <c r="E17" s="34">
        <v>15</v>
      </c>
      <c r="F17" s="34">
        <v>0</v>
      </c>
      <c r="G17" s="34">
        <v>0</v>
      </c>
      <c r="H17" s="28">
        <v>515</v>
      </c>
      <c r="I17" s="3">
        <v>0</v>
      </c>
      <c r="J17" s="17">
        <v>515</v>
      </c>
    </row>
    <row r="18" spans="1:10" x14ac:dyDescent="0.35">
      <c r="A18" s="16" t="s">
        <v>12</v>
      </c>
      <c r="B18" s="35">
        <v>1333</v>
      </c>
      <c r="C18" s="34">
        <v>524</v>
      </c>
      <c r="D18" s="34">
        <v>24</v>
      </c>
      <c r="E18" s="34">
        <v>39</v>
      </c>
      <c r="F18" s="34">
        <v>0</v>
      </c>
      <c r="G18" s="34">
        <v>0</v>
      </c>
      <c r="H18" s="28">
        <v>1920</v>
      </c>
      <c r="I18" s="3">
        <v>37</v>
      </c>
      <c r="J18" s="17">
        <v>1957</v>
      </c>
    </row>
    <row r="19" spans="1:10" x14ac:dyDescent="0.35">
      <c r="A19" s="16" t="s">
        <v>13</v>
      </c>
      <c r="B19" s="35">
        <v>2372</v>
      </c>
      <c r="C19" s="34">
        <v>1235</v>
      </c>
      <c r="D19" s="34">
        <v>31</v>
      </c>
      <c r="E19" s="34">
        <v>79</v>
      </c>
      <c r="F19" s="34">
        <v>0</v>
      </c>
      <c r="G19" s="34">
        <v>0</v>
      </c>
      <c r="H19" s="28">
        <v>3717</v>
      </c>
      <c r="I19" s="3">
        <v>42</v>
      </c>
      <c r="J19" s="17">
        <v>3759</v>
      </c>
    </row>
    <row r="20" spans="1:10" x14ac:dyDescent="0.35">
      <c r="A20" s="16" t="s">
        <v>14</v>
      </c>
      <c r="B20" s="35">
        <v>3176</v>
      </c>
      <c r="C20" s="35">
        <v>1193</v>
      </c>
      <c r="D20" s="34">
        <v>35</v>
      </c>
      <c r="E20" s="34">
        <v>65</v>
      </c>
      <c r="F20" s="34">
        <v>0</v>
      </c>
      <c r="G20" s="34">
        <v>0</v>
      </c>
      <c r="H20" s="28">
        <v>4469</v>
      </c>
      <c r="I20" s="3">
        <v>32</v>
      </c>
      <c r="J20" s="17">
        <v>4501</v>
      </c>
    </row>
    <row r="21" spans="1:10" x14ac:dyDescent="0.35">
      <c r="A21" s="16" t="s">
        <v>15</v>
      </c>
      <c r="B21" s="35">
        <v>1336</v>
      </c>
      <c r="C21" s="34">
        <v>478</v>
      </c>
      <c r="D21" s="34">
        <v>0</v>
      </c>
      <c r="E21" s="34">
        <v>52</v>
      </c>
      <c r="F21" s="34">
        <v>0</v>
      </c>
      <c r="G21" s="34">
        <v>0</v>
      </c>
      <c r="H21" s="28">
        <v>1866</v>
      </c>
      <c r="I21" s="3">
        <v>0</v>
      </c>
      <c r="J21" s="17">
        <v>1866</v>
      </c>
    </row>
    <row r="22" spans="1:10" x14ac:dyDescent="0.35">
      <c r="A22" s="16" t="s">
        <v>41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28">
        <v>0</v>
      </c>
      <c r="I22" s="3">
        <v>0</v>
      </c>
      <c r="J22" s="17">
        <v>0</v>
      </c>
    </row>
    <row r="23" spans="1:10" ht="15" thickBot="1" x14ac:dyDescent="0.4">
      <c r="A23" s="18"/>
      <c r="B23" s="6"/>
      <c r="C23" s="7"/>
      <c r="D23" s="7"/>
      <c r="E23" s="7"/>
      <c r="F23" s="7"/>
      <c r="G23" s="25"/>
      <c r="H23" s="29"/>
      <c r="I23" s="6" t="s">
        <v>38</v>
      </c>
      <c r="J23" s="19"/>
    </row>
    <row r="24" spans="1:10" ht="15" thickBot="1" x14ac:dyDescent="0.4">
      <c r="A24" s="20" t="s">
        <v>16</v>
      </c>
      <c r="B24" s="30">
        <f>SUM(B7:B22)</f>
        <v>44914</v>
      </c>
      <c r="C24" s="30">
        <f>SUM(C7:C22)</f>
        <v>37819</v>
      </c>
      <c r="D24" s="30">
        <f>SUM(D7:D22)</f>
        <v>14029</v>
      </c>
      <c r="E24" s="30">
        <f>SUM(E7:E22)</f>
        <v>4433</v>
      </c>
      <c r="F24" s="30">
        <f>SUM(F7:F22)</f>
        <v>15336</v>
      </c>
      <c r="G24" s="39">
        <f>SUM(G7:G22)</f>
        <v>13560</v>
      </c>
      <c r="H24" s="38">
        <f>SUM(H7:H22)</f>
        <v>130091</v>
      </c>
      <c r="I24" s="30">
        <f>SUM(I7:I22)</f>
        <v>1023</v>
      </c>
      <c r="J24" s="31">
        <f>SUM(J7:J22)</f>
        <v>131114</v>
      </c>
    </row>
    <row r="25" spans="1:10" x14ac:dyDescent="0.35">
      <c r="A25" s="16" t="s">
        <v>17</v>
      </c>
      <c r="B25" s="4">
        <v>2023</v>
      </c>
      <c r="C25" s="5">
        <v>1463</v>
      </c>
      <c r="D25" s="5">
        <v>344</v>
      </c>
      <c r="E25" s="5">
        <v>168</v>
      </c>
      <c r="F25" s="5">
        <v>2035</v>
      </c>
      <c r="G25" s="23">
        <v>949</v>
      </c>
      <c r="H25" s="28">
        <v>6982</v>
      </c>
      <c r="I25" s="4">
        <v>73</v>
      </c>
      <c r="J25" s="21">
        <v>7055</v>
      </c>
    </row>
    <row r="26" spans="1:10" x14ac:dyDescent="0.35">
      <c r="A26" s="16" t="s">
        <v>18</v>
      </c>
      <c r="B26" s="3">
        <v>7264</v>
      </c>
      <c r="C26" s="2">
        <v>5303</v>
      </c>
      <c r="D26" s="2">
        <v>1029</v>
      </c>
      <c r="E26" s="2">
        <v>464</v>
      </c>
      <c r="F26" s="2">
        <v>4465</v>
      </c>
      <c r="G26" s="24">
        <v>2831</v>
      </c>
      <c r="H26" s="28">
        <v>21356</v>
      </c>
      <c r="I26" s="3">
        <v>125</v>
      </c>
      <c r="J26" s="21">
        <v>21481</v>
      </c>
    </row>
    <row r="27" spans="1:10" x14ac:dyDescent="0.35">
      <c r="A27" s="16" t="s">
        <v>19</v>
      </c>
      <c r="B27" s="3">
        <v>18128</v>
      </c>
      <c r="C27" s="2">
        <v>13867</v>
      </c>
      <c r="D27" s="2">
        <v>3712</v>
      </c>
      <c r="E27" s="2">
        <v>1124</v>
      </c>
      <c r="F27" s="2">
        <v>15104</v>
      </c>
      <c r="G27" s="24">
        <v>8135</v>
      </c>
      <c r="H27" s="28">
        <v>60070</v>
      </c>
      <c r="I27" s="3">
        <v>668</v>
      </c>
      <c r="J27" s="21">
        <v>60738</v>
      </c>
    </row>
    <row r="28" spans="1:10" x14ac:dyDescent="0.35">
      <c r="A28" s="16" t="s">
        <v>20</v>
      </c>
      <c r="B28" s="3">
        <v>34394</v>
      </c>
      <c r="C28" s="2">
        <v>18591</v>
      </c>
      <c r="D28" s="2">
        <v>11047</v>
      </c>
      <c r="E28" s="2">
        <v>1925</v>
      </c>
      <c r="F28" s="2">
        <v>19659</v>
      </c>
      <c r="G28" s="24">
        <v>12737</v>
      </c>
      <c r="H28" s="28">
        <v>98353</v>
      </c>
      <c r="I28" s="3">
        <v>1528</v>
      </c>
      <c r="J28" s="21">
        <v>99881</v>
      </c>
    </row>
    <row r="29" spans="1:10" x14ac:dyDescent="0.35">
      <c r="A29" s="16" t="s">
        <v>21</v>
      </c>
      <c r="B29" s="3">
        <v>59536</v>
      </c>
      <c r="C29" s="2">
        <v>31725</v>
      </c>
      <c r="D29" s="2">
        <v>14667</v>
      </c>
      <c r="E29" s="2">
        <v>4719</v>
      </c>
      <c r="F29" s="2">
        <v>21153</v>
      </c>
      <c r="G29" s="24">
        <v>12615</v>
      </c>
      <c r="H29" s="28">
        <v>144415</v>
      </c>
      <c r="I29" s="3">
        <v>1643</v>
      </c>
      <c r="J29" s="21">
        <v>146058</v>
      </c>
    </row>
    <row r="30" spans="1:10" x14ac:dyDescent="0.35">
      <c r="A30" s="16" t="s">
        <v>22</v>
      </c>
      <c r="B30" s="3">
        <v>101075</v>
      </c>
      <c r="C30" s="2">
        <v>52514</v>
      </c>
      <c r="D30" s="2">
        <v>7536</v>
      </c>
      <c r="E30" s="2">
        <v>6334</v>
      </c>
      <c r="F30" s="2">
        <v>14651</v>
      </c>
      <c r="G30" s="24">
        <v>11793</v>
      </c>
      <c r="H30" s="28">
        <v>193903</v>
      </c>
      <c r="I30" s="3">
        <v>963</v>
      </c>
      <c r="J30" s="21">
        <v>194866</v>
      </c>
    </row>
    <row r="31" spans="1:10" x14ac:dyDescent="0.35">
      <c r="A31" s="16" t="s">
        <v>23</v>
      </c>
      <c r="B31" s="3">
        <v>35114</v>
      </c>
      <c r="C31" s="2">
        <v>15021</v>
      </c>
      <c r="D31" s="2">
        <v>3611</v>
      </c>
      <c r="E31" s="2">
        <v>14120</v>
      </c>
      <c r="F31" s="2">
        <v>11883</v>
      </c>
      <c r="G31" s="24">
        <v>3797</v>
      </c>
      <c r="H31" s="28">
        <v>83546</v>
      </c>
      <c r="I31" s="3">
        <v>115</v>
      </c>
      <c r="J31" s="21">
        <v>83661</v>
      </c>
    </row>
    <row r="32" spans="1:10" x14ac:dyDescent="0.35">
      <c r="A32" s="16" t="s">
        <v>24</v>
      </c>
      <c r="B32" s="3">
        <v>18377</v>
      </c>
      <c r="C32" s="2">
        <v>6318</v>
      </c>
      <c r="D32" s="2">
        <v>1061</v>
      </c>
      <c r="E32" s="2">
        <v>3645</v>
      </c>
      <c r="F32" s="2">
        <v>690</v>
      </c>
      <c r="G32" s="24">
        <v>650</v>
      </c>
      <c r="H32" s="28">
        <v>30741</v>
      </c>
      <c r="I32" s="3">
        <v>0</v>
      </c>
      <c r="J32" s="21">
        <v>30741</v>
      </c>
    </row>
    <row r="33" spans="1:10" x14ac:dyDescent="0.35">
      <c r="A33" s="16" t="s">
        <v>25</v>
      </c>
      <c r="B33" s="2">
        <v>13430</v>
      </c>
      <c r="C33" s="2">
        <v>6264</v>
      </c>
      <c r="D33" s="2">
        <v>689</v>
      </c>
      <c r="E33" s="2">
        <v>1625</v>
      </c>
      <c r="F33" s="2">
        <v>1675</v>
      </c>
      <c r="G33" s="24">
        <v>1327</v>
      </c>
      <c r="H33" s="28">
        <v>25010</v>
      </c>
      <c r="I33" s="3">
        <v>0</v>
      </c>
      <c r="J33" s="21">
        <v>25010</v>
      </c>
    </row>
    <row r="34" spans="1:10" x14ac:dyDescent="0.35">
      <c r="A34" s="16" t="s">
        <v>40</v>
      </c>
      <c r="B34" s="34">
        <v>0</v>
      </c>
      <c r="C34" s="34">
        <v>0</v>
      </c>
      <c r="D34" s="34">
        <v>0</v>
      </c>
      <c r="E34" s="34">
        <v>0</v>
      </c>
      <c r="F34" s="34">
        <v>1</v>
      </c>
      <c r="G34" s="34">
        <v>0</v>
      </c>
      <c r="H34" s="28">
        <v>1</v>
      </c>
      <c r="I34" s="3">
        <v>0</v>
      </c>
      <c r="J34" s="17">
        <v>1</v>
      </c>
    </row>
    <row r="35" spans="1:10" ht="15" thickBot="1" x14ac:dyDescent="0.4">
      <c r="A35" s="16"/>
      <c r="B35" s="8"/>
      <c r="C35" s="41"/>
      <c r="D35" s="41"/>
      <c r="E35" s="41"/>
      <c r="F35" s="41"/>
      <c r="G35" s="40"/>
      <c r="H35" s="28"/>
      <c r="I35" s="3"/>
      <c r="J35" s="21"/>
    </row>
    <row r="36" spans="1:10" ht="15" thickBot="1" x14ac:dyDescent="0.4">
      <c r="A36" s="20" t="s">
        <v>26</v>
      </c>
      <c r="B36" s="30">
        <f>SUM(B25:B34)</f>
        <v>289341</v>
      </c>
      <c r="C36" s="30">
        <f>SUM(C25:C34)</f>
        <v>151066</v>
      </c>
      <c r="D36" s="30">
        <f>SUM(D25:D34)</f>
        <v>43696</v>
      </c>
      <c r="E36" s="30">
        <f>SUM(E25:E34)</f>
        <v>34124</v>
      </c>
      <c r="F36" s="30">
        <f>SUM(F25:F34)</f>
        <v>91316</v>
      </c>
      <c r="G36" s="39">
        <f>SUM(G25:G34)</f>
        <v>54834</v>
      </c>
      <c r="H36" s="38">
        <f>SUM(H25:H34)</f>
        <v>664377</v>
      </c>
      <c r="I36" s="30">
        <f>SUM(I25:I34)</f>
        <v>5115</v>
      </c>
      <c r="J36" s="31">
        <f>SUM(J25:J34)</f>
        <v>669492</v>
      </c>
    </row>
    <row r="37" spans="1:10" ht="15.5" thickTop="1" thickBot="1" x14ac:dyDescent="0.4">
      <c r="A37" s="9" t="s">
        <v>27</v>
      </c>
      <c r="B37" s="32">
        <f>SUM(B24,B36)</f>
        <v>334255</v>
      </c>
      <c r="C37" s="32">
        <f>SUM(C24,C36)</f>
        <v>188885</v>
      </c>
      <c r="D37" s="32">
        <f>SUM(D24,D36)</f>
        <v>57725</v>
      </c>
      <c r="E37" s="32">
        <f>SUM(E24,E36)</f>
        <v>38557</v>
      </c>
      <c r="F37" s="32">
        <f>SUM(F24,F36)</f>
        <v>106652</v>
      </c>
      <c r="G37" s="33">
        <f>SUM(G24,G36)</f>
        <v>68394</v>
      </c>
      <c r="H37" s="37">
        <f>SUM(H24,H36)</f>
        <v>794468</v>
      </c>
      <c r="I37" s="32">
        <f>SUM(I24,I36)</f>
        <v>6138</v>
      </c>
      <c r="J37" s="36">
        <f>SUM(J24,J36)</f>
        <v>800606</v>
      </c>
    </row>
    <row r="38" spans="1:10" ht="15" thickTop="1" x14ac:dyDescent="0.35">
      <c r="B38" s="10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5" x14ac:dyDescent="0.45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5" x14ac:dyDescent="0.45">
      <c r="A3" s="48" t="s">
        <v>52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" thickBot="1" x14ac:dyDescent="0.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29.5" thickBot="1" x14ac:dyDescent="0.4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7" t="s">
        <v>36</v>
      </c>
      <c r="I6" s="26" t="s">
        <v>39</v>
      </c>
      <c r="J6" s="15" t="s">
        <v>37</v>
      </c>
    </row>
    <row r="7" spans="1:10" ht="15" thickTop="1" x14ac:dyDescent="0.35">
      <c r="A7" s="16" t="s">
        <v>1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28">
        <v>1</v>
      </c>
      <c r="I7" s="4">
        <v>0</v>
      </c>
      <c r="J7" s="17">
        <v>1</v>
      </c>
    </row>
    <row r="8" spans="1:10" x14ac:dyDescent="0.35">
      <c r="A8" s="16" t="s">
        <v>2</v>
      </c>
      <c r="B8" s="34">
        <v>3</v>
      </c>
      <c r="C8" s="34">
        <v>0</v>
      </c>
      <c r="D8" s="34">
        <v>0</v>
      </c>
      <c r="E8" s="34">
        <v>1</v>
      </c>
      <c r="F8" s="34">
        <v>2</v>
      </c>
      <c r="G8" s="34">
        <v>0</v>
      </c>
      <c r="H8" s="28">
        <v>6</v>
      </c>
      <c r="I8" s="3">
        <v>0</v>
      </c>
      <c r="J8" s="17">
        <v>6</v>
      </c>
    </row>
    <row r="9" spans="1:10" x14ac:dyDescent="0.35">
      <c r="A9" s="16" t="s">
        <v>3</v>
      </c>
      <c r="B9" s="34">
        <v>79</v>
      </c>
      <c r="C9" s="34">
        <v>34</v>
      </c>
      <c r="D9" s="34">
        <v>15</v>
      </c>
      <c r="E9" s="34">
        <v>5</v>
      </c>
      <c r="F9" s="34">
        <v>44</v>
      </c>
      <c r="G9" s="34">
        <v>25</v>
      </c>
      <c r="H9" s="28">
        <v>202</v>
      </c>
      <c r="I9" s="3">
        <v>1</v>
      </c>
      <c r="J9" s="17">
        <v>203</v>
      </c>
    </row>
    <row r="10" spans="1:10" x14ac:dyDescent="0.35">
      <c r="A10" s="16" t="s">
        <v>4</v>
      </c>
      <c r="B10" s="34">
        <v>163</v>
      </c>
      <c r="C10" s="34">
        <v>87</v>
      </c>
      <c r="D10" s="34">
        <v>35</v>
      </c>
      <c r="E10" s="34">
        <v>6</v>
      </c>
      <c r="F10" s="34">
        <v>134</v>
      </c>
      <c r="G10" s="34">
        <v>50</v>
      </c>
      <c r="H10" s="28">
        <v>475</v>
      </c>
      <c r="I10" s="3">
        <v>1</v>
      </c>
      <c r="J10" s="17">
        <v>476</v>
      </c>
    </row>
    <row r="11" spans="1:10" x14ac:dyDescent="0.35">
      <c r="A11" s="16" t="s">
        <v>5</v>
      </c>
      <c r="B11" s="35">
        <v>1292</v>
      </c>
      <c r="C11" s="35">
        <v>1852</v>
      </c>
      <c r="D11" s="35">
        <v>1211</v>
      </c>
      <c r="E11" s="34">
        <v>282</v>
      </c>
      <c r="F11" s="35">
        <v>1040</v>
      </c>
      <c r="G11" s="35">
        <v>1009</v>
      </c>
      <c r="H11" s="28">
        <v>6686</v>
      </c>
      <c r="I11" s="3">
        <v>38</v>
      </c>
      <c r="J11" s="17">
        <v>6724</v>
      </c>
    </row>
    <row r="12" spans="1:10" x14ac:dyDescent="0.35">
      <c r="A12" s="16" t="s">
        <v>6</v>
      </c>
      <c r="B12" s="35">
        <v>3613</v>
      </c>
      <c r="C12" s="35">
        <v>4820</v>
      </c>
      <c r="D12" s="35">
        <v>3287</v>
      </c>
      <c r="E12" s="34">
        <v>699</v>
      </c>
      <c r="F12" s="35">
        <v>3986</v>
      </c>
      <c r="G12" s="35">
        <v>3723</v>
      </c>
      <c r="H12" s="28">
        <v>20128</v>
      </c>
      <c r="I12" s="3">
        <v>137</v>
      </c>
      <c r="J12" s="17">
        <v>20265</v>
      </c>
    </row>
    <row r="13" spans="1:10" x14ac:dyDescent="0.35">
      <c r="A13" s="16" t="s">
        <v>7</v>
      </c>
      <c r="B13" s="35">
        <v>6720</v>
      </c>
      <c r="C13" s="35">
        <v>8607</v>
      </c>
      <c r="D13" s="35">
        <v>4930</v>
      </c>
      <c r="E13" s="35">
        <v>1529</v>
      </c>
      <c r="F13" s="35">
        <v>4323</v>
      </c>
      <c r="G13" s="35">
        <v>5127</v>
      </c>
      <c r="H13" s="28">
        <v>31236</v>
      </c>
      <c r="I13" s="3">
        <v>325</v>
      </c>
      <c r="J13" s="17">
        <v>31561</v>
      </c>
    </row>
    <row r="14" spans="1:10" x14ac:dyDescent="0.35">
      <c r="A14" s="16" t="s">
        <v>8</v>
      </c>
      <c r="B14" s="35">
        <v>10669</v>
      </c>
      <c r="C14" s="35">
        <v>11061</v>
      </c>
      <c r="D14" s="35">
        <v>3550</v>
      </c>
      <c r="E14" s="35">
        <v>1134</v>
      </c>
      <c r="F14" s="35">
        <v>3578</v>
      </c>
      <c r="G14" s="35">
        <v>2788</v>
      </c>
      <c r="H14" s="28">
        <v>32780</v>
      </c>
      <c r="I14" s="3">
        <v>302</v>
      </c>
      <c r="J14" s="17">
        <v>33082</v>
      </c>
    </row>
    <row r="15" spans="1:10" x14ac:dyDescent="0.35">
      <c r="A15" s="16" t="s">
        <v>9</v>
      </c>
      <c r="B15" s="35">
        <v>7622</v>
      </c>
      <c r="C15" s="35">
        <v>5638</v>
      </c>
      <c r="D15" s="34">
        <v>573</v>
      </c>
      <c r="E15" s="34">
        <v>328</v>
      </c>
      <c r="F15" s="35">
        <v>1133</v>
      </c>
      <c r="G15" s="34">
        <v>526</v>
      </c>
      <c r="H15" s="28">
        <v>15820</v>
      </c>
      <c r="I15" s="3">
        <v>60</v>
      </c>
      <c r="J15" s="17">
        <v>15880</v>
      </c>
    </row>
    <row r="16" spans="1:10" x14ac:dyDescent="0.35">
      <c r="A16" s="16" t="s">
        <v>10</v>
      </c>
      <c r="B16" s="35">
        <v>6388</v>
      </c>
      <c r="C16" s="35">
        <v>2200</v>
      </c>
      <c r="D16" s="34">
        <v>391</v>
      </c>
      <c r="E16" s="34">
        <v>270</v>
      </c>
      <c r="F16" s="35">
        <v>1118</v>
      </c>
      <c r="G16" s="34">
        <v>378</v>
      </c>
      <c r="H16" s="28">
        <v>10745</v>
      </c>
      <c r="I16" s="3">
        <v>58</v>
      </c>
      <c r="J16" s="17">
        <v>10803</v>
      </c>
    </row>
    <row r="17" spans="1:10" x14ac:dyDescent="0.35">
      <c r="A17" s="16" t="s">
        <v>11</v>
      </c>
      <c r="B17" s="34">
        <v>381</v>
      </c>
      <c r="C17" s="34">
        <v>110</v>
      </c>
      <c r="D17" s="34">
        <v>2</v>
      </c>
      <c r="E17" s="34">
        <v>19</v>
      </c>
      <c r="F17" s="34">
        <v>0</v>
      </c>
      <c r="G17" s="34">
        <v>0</v>
      </c>
      <c r="H17" s="28">
        <v>512</v>
      </c>
      <c r="I17" s="3">
        <v>0</v>
      </c>
      <c r="J17" s="17">
        <v>512</v>
      </c>
    </row>
    <row r="18" spans="1:10" x14ac:dyDescent="0.35">
      <c r="A18" s="16" t="s">
        <v>12</v>
      </c>
      <c r="B18" s="35">
        <v>1327</v>
      </c>
      <c r="C18" s="34">
        <v>536</v>
      </c>
      <c r="D18" s="34">
        <v>24</v>
      </c>
      <c r="E18" s="34">
        <v>52</v>
      </c>
      <c r="F18" s="34">
        <v>0</v>
      </c>
      <c r="G18" s="34">
        <v>0</v>
      </c>
      <c r="H18" s="28">
        <v>1939</v>
      </c>
      <c r="I18" s="3">
        <v>39</v>
      </c>
      <c r="J18" s="17">
        <v>1978</v>
      </c>
    </row>
    <row r="19" spans="1:10" x14ac:dyDescent="0.35">
      <c r="A19" s="16" t="s">
        <v>13</v>
      </c>
      <c r="B19" s="35">
        <v>2365</v>
      </c>
      <c r="C19" s="34">
        <v>1235</v>
      </c>
      <c r="D19" s="34">
        <v>31</v>
      </c>
      <c r="E19" s="34">
        <v>80</v>
      </c>
      <c r="F19" s="34">
        <v>0</v>
      </c>
      <c r="G19" s="34">
        <v>0</v>
      </c>
      <c r="H19" s="28">
        <v>3711</v>
      </c>
      <c r="I19" s="3">
        <v>40</v>
      </c>
      <c r="J19" s="17">
        <v>3751</v>
      </c>
    </row>
    <row r="20" spans="1:10" x14ac:dyDescent="0.35">
      <c r="A20" s="16" t="s">
        <v>14</v>
      </c>
      <c r="B20" s="35">
        <v>3183</v>
      </c>
      <c r="C20" s="35">
        <v>1185</v>
      </c>
      <c r="D20" s="34">
        <v>35</v>
      </c>
      <c r="E20" s="34">
        <v>80</v>
      </c>
      <c r="F20" s="34">
        <v>0</v>
      </c>
      <c r="G20" s="34">
        <v>0</v>
      </c>
      <c r="H20" s="28">
        <v>4483</v>
      </c>
      <c r="I20" s="3">
        <v>32</v>
      </c>
      <c r="J20" s="17">
        <v>4515</v>
      </c>
    </row>
    <row r="21" spans="1:10" x14ac:dyDescent="0.35">
      <c r="A21" s="16" t="s">
        <v>15</v>
      </c>
      <c r="B21" s="35">
        <v>1347</v>
      </c>
      <c r="C21" s="34">
        <v>474</v>
      </c>
      <c r="D21" s="34">
        <v>0</v>
      </c>
      <c r="E21" s="34">
        <v>18</v>
      </c>
      <c r="F21" s="34">
        <v>0</v>
      </c>
      <c r="G21" s="34">
        <v>0</v>
      </c>
      <c r="H21" s="28">
        <v>1839</v>
      </c>
      <c r="I21" s="3">
        <v>0</v>
      </c>
      <c r="J21" s="17">
        <v>1839</v>
      </c>
    </row>
    <row r="22" spans="1:10" x14ac:dyDescent="0.35">
      <c r="A22" s="16" t="s">
        <v>41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28">
        <v>0</v>
      </c>
      <c r="I22" s="3">
        <v>0</v>
      </c>
      <c r="J22" s="17">
        <v>0</v>
      </c>
    </row>
    <row r="23" spans="1:10" ht="15" thickBot="1" x14ac:dyDescent="0.4">
      <c r="A23" s="18"/>
      <c r="B23" s="6"/>
      <c r="C23" s="7"/>
      <c r="D23" s="7"/>
      <c r="E23" s="7"/>
      <c r="F23" s="7"/>
      <c r="G23" s="25"/>
      <c r="H23" s="29"/>
      <c r="I23" s="6" t="s">
        <v>38</v>
      </c>
      <c r="J23" s="19"/>
    </row>
    <row r="24" spans="1:10" ht="15" thickBot="1" x14ac:dyDescent="0.4">
      <c r="A24" s="20" t="s">
        <v>16</v>
      </c>
      <c r="B24" s="30">
        <f>SUM(B7:B22)</f>
        <v>45152</v>
      </c>
      <c r="C24" s="30">
        <f>SUM(C7:C22)</f>
        <v>37839</v>
      </c>
      <c r="D24" s="30">
        <f>SUM(D7:D22)</f>
        <v>14084</v>
      </c>
      <c r="E24" s="30">
        <f>SUM(E7:E22)</f>
        <v>4503</v>
      </c>
      <c r="F24" s="30">
        <f>SUM(F7:F22)</f>
        <v>15359</v>
      </c>
      <c r="G24" s="39">
        <f>SUM(G7:G22)</f>
        <v>13626</v>
      </c>
      <c r="H24" s="38">
        <f>SUM(H7:H22)</f>
        <v>130563</v>
      </c>
      <c r="I24" s="30">
        <f>SUM(I7:I22)</f>
        <v>1033</v>
      </c>
      <c r="J24" s="31">
        <f>SUM(J7:J22)</f>
        <v>131596</v>
      </c>
    </row>
    <row r="25" spans="1:10" x14ac:dyDescent="0.35">
      <c r="A25" s="16" t="s">
        <v>17</v>
      </c>
      <c r="B25" s="4">
        <v>2020</v>
      </c>
      <c r="C25" s="5">
        <v>1512</v>
      </c>
      <c r="D25" s="5">
        <v>344</v>
      </c>
      <c r="E25" s="5">
        <v>167</v>
      </c>
      <c r="F25" s="5">
        <v>2029</v>
      </c>
      <c r="G25" s="23">
        <v>944</v>
      </c>
      <c r="H25" s="28">
        <v>7016</v>
      </c>
      <c r="I25" s="4">
        <v>73</v>
      </c>
      <c r="J25" s="21">
        <v>7089</v>
      </c>
    </row>
    <row r="26" spans="1:10" x14ac:dyDescent="0.35">
      <c r="A26" s="16" t="s">
        <v>18</v>
      </c>
      <c r="B26" s="3">
        <v>7312</v>
      </c>
      <c r="C26" s="2">
        <v>5218</v>
      </c>
      <c r="D26" s="2">
        <v>1026</v>
      </c>
      <c r="E26" s="2">
        <v>471</v>
      </c>
      <c r="F26" s="2">
        <v>4491</v>
      </c>
      <c r="G26" s="24">
        <v>2831</v>
      </c>
      <c r="H26" s="28">
        <v>21349</v>
      </c>
      <c r="I26" s="3">
        <v>124</v>
      </c>
      <c r="J26" s="21">
        <v>21473</v>
      </c>
    </row>
    <row r="27" spans="1:10" x14ac:dyDescent="0.35">
      <c r="A27" s="16" t="s">
        <v>19</v>
      </c>
      <c r="B27" s="3">
        <v>18094</v>
      </c>
      <c r="C27" s="2">
        <v>13851</v>
      </c>
      <c r="D27" s="2">
        <v>3745</v>
      </c>
      <c r="E27" s="2">
        <v>1119</v>
      </c>
      <c r="F27" s="2">
        <v>15093</v>
      </c>
      <c r="G27" s="24">
        <v>8128</v>
      </c>
      <c r="H27" s="28">
        <v>60030</v>
      </c>
      <c r="I27" s="3">
        <v>670</v>
      </c>
      <c r="J27" s="21">
        <v>60700</v>
      </c>
    </row>
    <row r="28" spans="1:10" x14ac:dyDescent="0.35">
      <c r="A28" s="16" t="s">
        <v>20</v>
      </c>
      <c r="B28" s="3">
        <v>34097</v>
      </c>
      <c r="C28" s="2">
        <v>18455</v>
      </c>
      <c r="D28" s="2">
        <v>11032</v>
      </c>
      <c r="E28" s="2">
        <v>1915</v>
      </c>
      <c r="F28" s="2">
        <v>19755</v>
      </c>
      <c r="G28" s="24">
        <v>12792</v>
      </c>
      <c r="H28" s="28">
        <v>98046</v>
      </c>
      <c r="I28" s="3">
        <v>1541</v>
      </c>
      <c r="J28" s="21">
        <v>99587</v>
      </c>
    </row>
    <row r="29" spans="1:10" x14ac:dyDescent="0.35">
      <c r="A29" s="16" t="s">
        <v>21</v>
      </c>
      <c r="B29" s="3">
        <v>59465</v>
      </c>
      <c r="C29" s="2">
        <v>32242</v>
      </c>
      <c r="D29" s="2">
        <v>14690</v>
      </c>
      <c r="E29" s="2">
        <v>4580</v>
      </c>
      <c r="F29" s="2">
        <v>21276</v>
      </c>
      <c r="G29" s="24">
        <v>12653</v>
      </c>
      <c r="H29" s="28">
        <v>144906</v>
      </c>
      <c r="I29" s="3">
        <v>1639</v>
      </c>
      <c r="J29" s="21">
        <v>146545</v>
      </c>
    </row>
    <row r="30" spans="1:10" x14ac:dyDescent="0.35">
      <c r="A30" s="16" t="s">
        <v>22</v>
      </c>
      <c r="B30" s="3">
        <v>101090</v>
      </c>
      <c r="C30" s="2">
        <v>52001</v>
      </c>
      <c r="D30" s="2">
        <v>7527</v>
      </c>
      <c r="E30" s="2">
        <v>6170</v>
      </c>
      <c r="F30" s="2">
        <v>14596</v>
      </c>
      <c r="G30" s="24">
        <v>11784</v>
      </c>
      <c r="H30" s="28">
        <v>193168</v>
      </c>
      <c r="I30" s="3">
        <v>946</v>
      </c>
      <c r="J30" s="21">
        <v>194114</v>
      </c>
    </row>
    <row r="31" spans="1:10" x14ac:dyDescent="0.35">
      <c r="A31" s="16" t="s">
        <v>23</v>
      </c>
      <c r="B31" s="3">
        <v>35118</v>
      </c>
      <c r="C31" s="2">
        <v>14982</v>
      </c>
      <c r="D31" s="2">
        <v>3655</v>
      </c>
      <c r="E31" s="2">
        <v>14368</v>
      </c>
      <c r="F31" s="2">
        <v>11982</v>
      </c>
      <c r="G31" s="24">
        <v>3829</v>
      </c>
      <c r="H31" s="28">
        <v>83934</v>
      </c>
      <c r="I31" s="3">
        <v>99</v>
      </c>
      <c r="J31" s="21">
        <v>84033</v>
      </c>
    </row>
    <row r="32" spans="1:10" x14ac:dyDescent="0.35">
      <c r="A32" s="16" t="s">
        <v>24</v>
      </c>
      <c r="B32" s="3">
        <v>18538</v>
      </c>
      <c r="C32" s="2">
        <v>6429</v>
      </c>
      <c r="D32" s="2">
        <v>1103</v>
      </c>
      <c r="E32" s="2">
        <v>3614</v>
      </c>
      <c r="F32" s="2">
        <v>721</v>
      </c>
      <c r="G32" s="24">
        <v>639</v>
      </c>
      <c r="H32" s="28">
        <v>31044</v>
      </c>
      <c r="I32" s="3">
        <v>0</v>
      </c>
      <c r="J32" s="21">
        <v>31044</v>
      </c>
    </row>
    <row r="33" spans="1:10" x14ac:dyDescent="0.35">
      <c r="A33" s="16" t="s">
        <v>25</v>
      </c>
      <c r="B33" s="2">
        <v>13393</v>
      </c>
      <c r="C33" s="2">
        <v>6402</v>
      </c>
      <c r="D33" s="2">
        <v>777</v>
      </c>
      <c r="E33" s="2">
        <v>1857</v>
      </c>
      <c r="F33" s="2">
        <v>1764</v>
      </c>
      <c r="G33" s="24">
        <v>1346</v>
      </c>
      <c r="H33" s="28">
        <v>25539</v>
      </c>
      <c r="I33" s="3">
        <v>0</v>
      </c>
      <c r="J33" s="21">
        <v>25539</v>
      </c>
    </row>
    <row r="34" spans="1:10" x14ac:dyDescent="0.35">
      <c r="A34" s="16" t="s">
        <v>40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1</v>
      </c>
      <c r="H34" s="28">
        <v>1</v>
      </c>
      <c r="I34" s="3">
        <v>0</v>
      </c>
      <c r="J34" s="17">
        <v>1</v>
      </c>
    </row>
    <row r="35" spans="1:10" ht="15" thickBot="1" x14ac:dyDescent="0.4">
      <c r="A35" s="16"/>
      <c r="B35" s="8"/>
      <c r="C35" s="41"/>
      <c r="D35" s="41"/>
      <c r="E35" s="41"/>
      <c r="F35" s="41"/>
      <c r="G35" s="40"/>
      <c r="H35" s="28"/>
      <c r="I35" s="3"/>
      <c r="J35" s="21"/>
    </row>
    <row r="36" spans="1:10" ht="15" thickBot="1" x14ac:dyDescent="0.4">
      <c r="A36" s="20" t="s">
        <v>26</v>
      </c>
      <c r="B36" s="30">
        <f>SUM(B25:B34)</f>
        <v>289127</v>
      </c>
      <c r="C36" s="30">
        <f>SUM(C25:C34)</f>
        <v>151092</v>
      </c>
      <c r="D36" s="30">
        <f>SUM(D25:D34)</f>
        <v>43899</v>
      </c>
      <c r="E36" s="30">
        <f>SUM(E25:E34)</f>
        <v>34261</v>
      </c>
      <c r="F36" s="30">
        <f>SUM(F25:F34)</f>
        <v>91707</v>
      </c>
      <c r="G36" s="39">
        <f>SUM(G25:G34)</f>
        <v>54947</v>
      </c>
      <c r="H36" s="38">
        <f>SUM(H25:H34)</f>
        <v>665033</v>
      </c>
      <c r="I36" s="30">
        <f>SUM(I25:I34)</f>
        <v>5092</v>
      </c>
      <c r="J36" s="31">
        <f>SUM(J25:J34)</f>
        <v>670125</v>
      </c>
    </row>
    <row r="37" spans="1:10" ht="15.5" thickTop="1" thickBot="1" x14ac:dyDescent="0.4">
      <c r="A37" s="9" t="s">
        <v>27</v>
      </c>
      <c r="B37" s="32">
        <f>SUM(B24,B36)</f>
        <v>334279</v>
      </c>
      <c r="C37" s="32">
        <f>SUM(C24,C36)</f>
        <v>188931</v>
      </c>
      <c r="D37" s="32">
        <f>SUM(D24,D36)</f>
        <v>57983</v>
      </c>
      <c r="E37" s="32">
        <f>SUM(E24,E36)</f>
        <v>38764</v>
      </c>
      <c r="F37" s="32">
        <f>SUM(F24,F36)</f>
        <v>107066</v>
      </c>
      <c r="G37" s="33">
        <f>SUM(G24,G36)</f>
        <v>68573</v>
      </c>
      <c r="H37" s="37">
        <f>SUM(H24,H36)</f>
        <v>795596</v>
      </c>
      <c r="I37" s="32">
        <f>SUM(I24,I36)</f>
        <v>6125</v>
      </c>
      <c r="J37" s="36">
        <f>SUM(J24,J36)</f>
        <v>801721</v>
      </c>
    </row>
    <row r="38" spans="1:10" ht="15" thickTop="1" x14ac:dyDescent="0.35">
      <c r="B38" s="10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tabSelected="1"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5" x14ac:dyDescent="0.45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5" x14ac:dyDescent="0.45">
      <c r="A3" s="48" t="s">
        <v>43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" thickBot="1" x14ac:dyDescent="0.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29.5" thickBot="1" x14ac:dyDescent="0.4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7" t="s">
        <v>36</v>
      </c>
      <c r="I6" s="26" t="s">
        <v>39</v>
      </c>
      <c r="J6" s="15" t="s">
        <v>37</v>
      </c>
    </row>
    <row r="7" spans="1:10" ht="15" thickTop="1" x14ac:dyDescent="0.35">
      <c r="A7" s="16" t="s">
        <v>1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28">
        <v>1</v>
      </c>
      <c r="I7" s="4">
        <v>0</v>
      </c>
      <c r="J7" s="17">
        <v>1</v>
      </c>
    </row>
    <row r="8" spans="1:10" x14ac:dyDescent="0.35">
      <c r="A8" s="16" t="s">
        <v>2</v>
      </c>
      <c r="B8" s="34">
        <v>3</v>
      </c>
      <c r="C8" s="34">
        <v>0</v>
      </c>
      <c r="D8" s="34">
        <v>0</v>
      </c>
      <c r="E8" s="34">
        <v>1</v>
      </c>
      <c r="F8" s="34">
        <v>2</v>
      </c>
      <c r="G8" s="34">
        <v>0</v>
      </c>
      <c r="H8" s="28">
        <v>6</v>
      </c>
      <c r="I8" s="3">
        <v>0</v>
      </c>
      <c r="J8" s="17">
        <v>6</v>
      </c>
    </row>
    <row r="9" spans="1:10" x14ac:dyDescent="0.35">
      <c r="A9" s="16" t="s">
        <v>3</v>
      </c>
      <c r="B9" s="34">
        <v>80</v>
      </c>
      <c r="C9" s="34">
        <v>34</v>
      </c>
      <c r="D9" s="34">
        <v>19</v>
      </c>
      <c r="E9" s="34">
        <v>5</v>
      </c>
      <c r="F9" s="34">
        <v>44</v>
      </c>
      <c r="G9" s="34">
        <v>25</v>
      </c>
      <c r="H9" s="28">
        <v>207</v>
      </c>
      <c r="I9" s="3">
        <v>1</v>
      </c>
      <c r="J9" s="17">
        <v>208</v>
      </c>
    </row>
    <row r="10" spans="1:10" x14ac:dyDescent="0.35">
      <c r="A10" s="16" t="s">
        <v>4</v>
      </c>
      <c r="B10" s="34">
        <v>165</v>
      </c>
      <c r="C10" s="34">
        <v>86</v>
      </c>
      <c r="D10" s="34">
        <v>38</v>
      </c>
      <c r="E10" s="34">
        <v>6</v>
      </c>
      <c r="F10" s="34">
        <v>135</v>
      </c>
      <c r="G10" s="34">
        <v>51</v>
      </c>
      <c r="H10" s="28">
        <v>481</v>
      </c>
      <c r="I10" s="3">
        <v>1</v>
      </c>
      <c r="J10" s="17">
        <v>482</v>
      </c>
    </row>
    <row r="11" spans="1:10" x14ac:dyDescent="0.35">
      <c r="A11" s="16" t="s">
        <v>5</v>
      </c>
      <c r="B11" s="35">
        <v>1335</v>
      </c>
      <c r="C11" s="35">
        <v>1850</v>
      </c>
      <c r="D11" s="35">
        <v>1235</v>
      </c>
      <c r="E11" s="34">
        <v>289</v>
      </c>
      <c r="F11" s="35">
        <v>1041</v>
      </c>
      <c r="G11" s="35">
        <v>1010</v>
      </c>
      <c r="H11" s="28">
        <v>6760</v>
      </c>
      <c r="I11" s="3">
        <v>36</v>
      </c>
      <c r="J11" s="17">
        <v>6796</v>
      </c>
    </row>
    <row r="12" spans="1:10" x14ac:dyDescent="0.35">
      <c r="A12" s="16" t="s">
        <v>6</v>
      </c>
      <c r="B12" s="35">
        <v>3545</v>
      </c>
      <c r="C12" s="35">
        <v>4833</v>
      </c>
      <c r="D12" s="35">
        <v>3303</v>
      </c>
      <c r="E12" s="34">
        <v>689</v>
      </c>
      <c r="F12" s="35">
        <v>3979</v>
      </c>
      <c r="G12" s="35">
        <v>3873</v>
      </c>
      <c r="H12" s="28">
        <v>20222</v>
      </c>
      <c r="I12" s="3">
        <v>140</v>
      </c>
      <c r="J12" s="17">
        <v>20362</v>
      </c>
    </row>
    <row r="13" spans="1:10" x14ac:dyDescent="0.35">
      <c r="A13" s="16" t="s">
        <v>7</v>
      </c>
      <c r="B13" s="35">
        <v>6724</v>
      </c>
      <c r="C13" s="35">
        <v>8986</v>
      </c>
      <c r="D13" s="35">
        <v>4943</v>
      </c>
      <c r="E13" s="35">
        <v>1564</v>
      </c>
      <c r="F13" s="35">
        <v>4346</v>
      </c>
      <c r="G13" s="35">
        <v>4996</v>
      </c>
      <c r="H13" s="28">
        <v>31559</v>
      </c>
      <c r="I13" s="3">
        <v>317</v>
      </c>
      <c r="J13" s="17">
        <v>31876</v>
      </c>
    </row>
    <row r="14" spans="1:10" x14ac:dyDescent="0.35">
      <c r="A14" s="16" t="s">
        <v>8</v>
      </c>
      <c r="B14" s="35">
        <v>10657</v>
      </c>
      <c r="C14" s="35">
        <v>10766</v>
      </c>
      <c r="D14" s="35">
        <v>3487</v>
      </c>
      <c r="E14" s="35">
        <v>1083</v>
      </c>
      <c r="F14" s="35">
        <v>3576</v>
      </c>
      <c r="G14" s="35">
        <v>2847</v>
      </c>
      <c r="H14" s="28">
        <v>32416</v>
      </c>
      <c r="I14" s="3">
        <v>300</v>
      </c>
      <c r="J14" s="17">
        <v>32716</v>
      </c>
    </row>
    <row r="15" spans="1:10" x14ac:dyDescent="0.35">
      <c r="A15" s="16" t="s">
        <v>9</v>
      </c>
      <c r="B15" s="35">
        <v>7597</v>
      </c>
      <c r="C15" s="35">
        <v>5570</v>
      </c>
      <c r="D15" s="34">
        <v>579</v>
      </c>
      <c r="E15" s="34">
        <v>307</v>
      </c>
      <c r="F15" s="35">
        <v>1178</v>
      </c>
      <c r="G15" s="34">
        <v>544</v>
      </c>
      <c r="H15" s="28">
        <v>15775</v>
      </c>
      <c r="I15" s="3">
        <v>60</v>
      </c>
      <c r="J15" s="17">
        <v>15835</v>
      </c>
    </row>
    <row r="16" spans="1:10" x14ac:dyDescent="0.35">
      <c r="A16" s="16" t="s">
        <v>10</v>
      </c>
      <c r="B16" s="35">
        <v>6744</v>
      </c>
      <c r="C16" s="35">
        <v>2223</v>
      </c>
      <c r="D16" s="34">
        <v>415</v>
      </c>
      <c r="E16" s="34">
        <v>268</v>
      </c>
      <c r="F16" s="35">
        <v>1099</v>
      </c>
      <c r="G16" s="34">
        <v>370</v>
      </c>
      <c r="H16" s="28">
        <v>11119</v>
      </c>
      <c r="I16" s="3">
        <v>66</v>
      </c>
      <c r="J16" s="17">
        <v>11185</v>
      </c>
    </row>
    <row r="17" spans="1:10" x14ac:dyDescent="0.35">
      <c r="A17" s="16" t="s">
        <v>11</v>
      </c>
      <c r="B17" s="34">
        <v>408</v>
      </c>
      <c r="C17" s="34">
        <v>113</v>
      </c>
      <c r="D17" s="34">
        <v>2</v>
      </c>
      <c r="E17" s="34">
        <v>19</v>
      </c>
      <c r="F17" s="34">
        <v>0</v>
      </c>
      <c r="G17" s="34">
        <v>0</v>
      </c>
      <c r="H17" s="28">
        <v>542</v>
      </c>
      <c r="I17" s="3">
        <v>0</v>
      </c>
      <c r="J17" s="17">
        <v>542</v>
      </c>
    </row>
    <row r="18" spans="1:10" x14ac:dyDescent="0.35">
      <c r="A18" s="16" t="s">
        <v>12</v>
      </c>
      <c r="B18" s="35">
        <v>1371</v>
      </c>
      <c r="C18" s="34">
        <v>556</v>
      </c>
      <c r="D18" s="34">
        <v>24</v>
      </c>
      <c r="E18" s="34">
        <v>50</v>
      </c>
      <c r="F18" s="34">
        <v>0</v>
      </c>
      <c r="G18" s="34">
        <v>0</v>
      </c>
      <c r="H18" s="28">
        <v>2001</v>
      </c>
      <c r="I18" s="3">
        <v>38</v>
      </c>
      <c r="J18" s="17">
        <v>2039</v>
      </c>
    </row>
    <row r="19" spans="1:10" x14ac:dyDescent="0.35">
      <c r="A19" s="16" t="s">
        <v>13</v>
      </c>
      <c r="B19" s="35">
        <v>2444</v>
      </c>
      <c r="C19" s="34">
        <v>1235</v>
      </c>
      <c r="D19" s="34">
        <v>30</v>
      </c>
      <c r="E19" s="34">
        <v>78</v>
      </c>
      <c r="F19" s="34">
        <v>0</v>
      </c>
      <c r="G19" s="34">
        <v>0</v>
      </c>
      <c r="H19" s="28">
        <v>3787</v>
      </c>
      <c r="I19" s="3">
        <v>38</v>
      </c>
      <c r="J19" s="17">
        <v>3825</v>
      </c>
    </row>
    <row r="20" spans="1:10" x14ac:dyDescent="0.35">
      <c r="A20" s="16" t="s">
        <v>14</v>
      </c>
      <c r="B20" s="35">
        <v>3022</v>
      </c>
      <c r="C20" s="35">
        <v>1175</v>
      </c>
      <c r="D20" s="34">
        <v>34</v>
      </c>
      <c r="E20" s="34">
        <v>80</v>
      </c>
      <c r="F20" s="34">
        <v>0</v>
      </c>
      <c r="G20" s="34">
        <v>0</v>
      </c>
      <c r="H20" s="28">
        <v>4311</v>
      </c>
      <c r="I20" s="3">
        <v>32</v>
      </c>
      <c r="J20" s="17">
        <v>4343</v>
      </c>
    </row>
    <row r="21" spans="1:10" x14ac:dyDescent="0.35">
      <c r="A21" s="16" t="s">
        <v>15</v>
      </c>
      <c r="B21" s="35">
        <v>1430</v>
      </c>
      <c r="C21" s="34">
        <v>463</v>
      </c>
      <c r="D21" s="34">
        <v>0</v>
      </c>
      <c r="E21" s="34">
        <v>18</v>
      </c>
      <c r="F21" s="34">
        <v>0</v>
      </c>
      <c r="G21" s="34">
        <v>0</v>
      </c>
      <c r="H21" s="28">
        <v>1911</v>
      </c>
      <c r="I21" s="3">
        <v>0</v>
      </c>
      <c r="J21" s="17">
        <v>1911</v>
      </c>
    </row>
    <row r="22" spans="1:10" x14ac:dyDescent="0.35">
      <c r="A22" s="16" t="s">
        <v>41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28">
        <v>0</v>
      </c>
      <c r="I22" s="3">
        <v>0</v>
      </c>
      <c r="J22" s="17">
        <v>0</v>
      </c>
    </row>
    <row r="23" spans="1:10" ht="15" thickBot="1" x14ac:dyDescent="0.4">
      <c r="A23" s="18"/>
      <c r="B23" s="6"/>
      <c r="C23" s="7"/>
      <c r="D23" s="7"/>
      <c r="E23" s="7"/>
      <c r="F23" s="7"/>
      <c r="G23" s="25"/>
      <c r="H23" s="29"/>
      <c r="I23" s="6" t="s">
        <v>38</v>
      </c>
      <c r="J23" s="19"/>
    </row>
    <row r="24" spans="1:10" ht="15" thickBot="1" x14ac:dyDescent="0.4">
      <c r="A24" s="20" t="s">
        <v>16</v>
      </c>
      <c r="B24" s="30">
        <f t="shared" ref="B24:J24" si="0">SUM(B7:B22)</f>
        <v>45525</v>
      </c>
      <c r="C24" s="30">
        <f t="shared" si="0"/>
        <v>37890</v>
      </c>
      <c r="D24" s="30">
        <f t="shared" si="0"/>
        <v>14109</v>
      </c>
      <c r="E24" s="30">
        <f t="shared" si="0"/>
        <v>4457</v>
      </c>
      <c r="F24" s="30">
        <f t="shared" si="0"/>
        <v>15401</v>
      </c>
      <c r="G24" s="39">
        <f t="shared" si="0"/>
        <v>13716</v>
      </c>
      <c r="H24" s="38">
        <f t="shared" si="0"/>
        <v>131098</v>
      </c>
      <c r="I24" s="30">
        <f t="shared" si="0"/>
        <v>1029</v>
      </c>
      <c r="J24" s="31">
        <f t="shared" si="0"/>
        <v>132127</v>
      </c>
    </row>
    <row r="25" spans="1:10" x14ac:dyDescent="0.35">
      <c r="A25" s="16" t="s">
        <v>17</v>
      </c>
      <c r="B25" s="4">
        <v>2012</v>
      </c>
      <c r="C25" s="5">
        <v>1495</v>
      </c>
      <c r="D25" s="5">
        <v>339</v>
      </c>
      <c r="E25" s="5">
        <v>164</v>
      </c>
      <c r="F25" s="5">
        <v>2027</v>
      </c>
      <c r="G25" s="23">
        <v>939</v>
      </c>
      <c r="H25" s="28">
        <v>6976</v>
      </c>
      <c r="I25" s="4">
        <v>73</v>
      </c>
      <c r="J25" s="21">
        <v>7049</v>
      </c>
    </row>
    <row r="26" spans="1:10" x14ac:dyDescent="0.35">
      <c r="A26" s="16" t="s">
        <v>18</v>
      </c>
      <c r="B26" s="3">
        <v>7317</v>
      </c>
      <c r="C26" s="2">
        <v>5648</v>
      </c>
      <c r="D26" s="2">
        <v>1019</v>
      </c>
      <c r="E26" s="2">
        <v>475</v>
      </c>
      <c r="F26" s="2">
        <v>4496</v>
      </c>
      <c r="G26" s="24">
        <v>2827</v>
      </c>
      <c r="H26" s="28">
        <v>21782</v>
      </c>
      <c r="I26" s="3">
        <v>124</v>
      </c>
      <c r="J26" s="21">
        <v>21906</v>
      </c>
    </row>
    <row r="27" spans="1:10" x14ac:dyDescent="0.35">
      <c r="A27" s="16" t="s">
        <v>19</v>
      </c>
      <c r="B27" s="3">
        <v>18115</v>
      </c>
      <c r="C27" s="2">
        <v>13375</v>
      </c>
      <c r="D27" s="2">
        <v>3728</v>
      </c>
      <c r="E27" s="2">
        <v>1115</v>
      </c>
      <c r="F27" s="2">
        <v>15070</v>
      </c>
      <c r="G27" s="24">
        <v>8114</v>
      </c>
      <c r="H27" s="28">
        <v>59517</v>
      </c>
      <c r="I27" s="3">
        <v>677</v>
      </c>
      <c r="J27" s="21">
        <v>60194</v>
      </c>
    </row>
    <row r="28" spans="1:10" x14ac:dyDescent="0.35">
      <c r="A28" s="16" t="s">
        <v>20</v>
      </c>
      <c r="B28" s="3">
        <v>33823</v>
      </c>
      <c r="C28" s="2">
        <v>18693</v>
      </c>
      <c r="D28" s="2">
        <v>11045</v>
      </c>
      <c r="E28" s="2">
        <v>1895</v>
      </c>
      <c r="F28" s="2">
        <v>19851</v>
      </c>
      <c r="G28" s="24">
        <v>12865</v>
      </c>
      <c r="H28" s="28">
        <v>98172</v>
      </c>
      <c r="I28" s="3">
        <v>1535</v>
      </c>
      <c r="J28" s="21">
        <v>99707</v>
      </c>
    </row>
    <row r="29" spans="1:10" x14ac:dyDescent="0.35">
      <c r="A29" s="16" t="s">
        <v>21</v>
      </c>
      <c r="B29" s="3">
        <v>59751</v>
      </c>
      <c r="C29" s="2">
        <v>31866</v>
      </c>
      <c r="D29" s="2">
        <v>14827</v>
      </c>
      <c r="E29" s="2">
        <v>4499</v>
      </c>
      <c r="F29" s="2">
        <v>21428</v>
      </c>
      <c r="G29" s="24">
        <v>12668</v>
      </c>
      <c r="H29" s="28">
        <v>145039</v>
      </c>
      <c r="I29" s="3">
        <v>1646</v>
      </c>
      <c r="J29" s="21">
        <v>146685</v>
      </c>
    </row>
    <row r="30" spans="1:10" x14ac:dyDescent="0.35">
      <c r="A30" s="16" t="s">
        <v>22</v>
      </c>
      <c r="B30" s="3">
        <v>101224</v>
      </c>
      <c r="C30" s="2">
        <v>52190</v>
      </c>
      <c r="D30" s="2">
        <v>7547</v>
      </c>
      <c r="E30" s="2">
        <v>6141</v>
      </c>
      <c r="F30" s="2">
        <v>14529</v>
      </c>
      <c r="G30" s="24">
        <v>11725</v>
      </c>
      <c r="H30" s="28">
        <v>193356</v>
      </c>
      <c r="I30" s="3">
        <v>937</v>
      </c>
      <c r="J30" s="21">
        <v>194293</v>
      </c>
    </row>
    <row r="31" spans="1:10" x14ac:dyDescent="0.35">
      <c r="A31" s="16" t="s">
        <v>23</v>
      </c>
      <c r="B31" s="3">
        <v>35022</v>
      </c>
      <c r="C31" s="2">
        <v>15067</v>
      </c>
      <c r="D31" s="2">
        <v>3662</v>
      </c>
      <c r="E31" s="2">
        <v>14731</v>
      </c>
      <c r="F31" s="2">
        <v>12037</v>
      </c>
      <c r="G31" s="24">
        <v>3838</v>
      </c>
      <c r="H31" s="28">
        <v>84357</v>
      </c>
      <c r="I31" s="3">
        <v>105</v>
      </c>
      <c r="J31" s="21">
        <v>84462</v>
      </c>
    </row>
    <row r="32" spans="1:10" x14ac:dyDescent="0.35">
      <c r="A32" s="16" t="s">
        <v>24</v>
      </c>
      <c r="B32" s="3">
        <v>18733</v>
      </c>
      <c r="C32" s="2">
        <v>6276</v>
      </c>
      <c r="D32" s="2">
        <v>1117</v>
      </c>
      <c r="E32" s="2">
        <v>3282</v>
      </c>
      <c r="F32" s="2">
        <v>741</v>
      </c>
      <c r="G32" s="24">
        <v>657</v>
      </c>
      <c r="H32" s="28">
        <v>30806</v>
      </c>
      <c r="I32" s="3">
        <v>0</v>
      </c>
      <c r="J32" s="21">
        <v>30806</v>
      </c>
    </row>
    <row r="33" spans="1:10" x14ac:dyDescent="0.35">
      <c r="A33" s="16" t="s">
        <v>25</v>
      </c>
      <c r="B33" s="2">
        <v>13682</v>
      </c>
      <c r="C33" s="2">
        <v>6311</v>
      </c>
      <c r="D33" s="2">
        <v>803</v>
      </c>
      <c r="E33" s="2">
        <v>1574</v>
      </c>
      <c r="F33" s="2">
        <v>1889</v>
      </c>
      <c r="G33" s="24">
        <v>1353</v>
      </c>
      <c r="H33" s="28">
        <v>25612</v>
      </c>
      <c r="I33" s="3">
        <v>0</v>
      </c>
      <c r="J33" s="21">
        <v>25612</v>
      </c>
    </row>
    <row r="34" spans="1:10" x14ac:dyDescent="0.35">
      <c r="A34" s="16" t="s">
        <v>40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1</v>
      </c>
      <c r="H34" s="28">
        <v>1</v>
      </c>
      <c r="I34" s="3">
        <v>0</v>
      </c>
      <c r="J34" s="17">
        <v>1</v>
      </c>
    </row>
    <row r="35" spans="1:10" ht="15" thickBot="1" x14ac:dyDescent="0.4">
      <c r="A35" s="16"/>
      <c r="B35" s="8"/>
      <c r="C35" s="41"/>
      <c r="D35" s="41"/>
      <c r="E35" s="41"/>
      <c r="F35" s="41"/>
      <c r="G35" s="40"/>
      <c r="H35" s="28"/>
      <c r="I35" s="3"/>
      <c r="J35" s="21"/>
    </row>
    <row r="36" spans="1:10" ht="15" thickBot="1" x14ac:dyDescent="0.4">
      <c r="A36" s="20" t="s">
        <v>26</v>
      </c>
      <c r="B36" s="30">
        <f t="shared" ref="B36:J36" si="1">SUM(B25:B34)</f>
        <v>289679</v>
      </c>
      <c r="C36" s="30">
        <f t="shared" si="1"/>
        <v>150921</v>
      </c>
      <c r="D36" s="30">
        <f t="shared" si="1"/>
        <v>44087</v>
      </c>
      <c r="E36" s="30">
        <f t="shared" si="1"/>
        <v>33876</v>
      </c>
      <c r="F36" s="30">
        <f t="shared" si="1"/>
        <v>92068</v>
      </c>
      <c r="G36" s="39">
        <f t="shared" si="1"/>
        <v>54987</v>
      </c>
      <c r="H36" s="38">
        <f t="shared" si="1"/>
        <v>665618</v>
      </c>
      <c r="I36" s="30">
        <f t="shared" si="1"/>
        <v>5097</v>
      </c>
      <c r="J36" s="31">
        <f t="shared" si="1"/>
        <v>670715</v>
      </c>
    </row>
    <row r="37" spans="1:10" ht="15.5" thickTop="1" thickBot="1" x14ac:dyDescent="0.4">
      <c r="A37" s="9" t="s">
        <v>27</v>
      </c>
      <c r="B37" s="32">
        <f t="shared" ref="B37:J37" si="2">SUM(B24,B36)</f>
        <v>335204</v>
      </c>
      <c r="C37" s="32">
        <f t="shared" si="2"/>
        <v>188811</v>
      </c>
      <c r="D37" s="32">
        <f t="shared" si="2"/>
        <v>58196</v>
      </c>
      <c r="E37" s="32">
        <f t="shared" si="2"/>
        <v>38333</v>
      </c>
      <c r="F37" s="32">
        <f t="shared" si="2"/>
        <v>107469</v>
      </c>
      <c r="G37" s="33">
        <f t="shared" si="2"/>
        <v>68703</v>
      </c>
      <c r="H37" s="37">
        <f t="shared" si="2"/>
        <v>796716</v>
      </c>
      <c r="I37" s="32">
        <f t="shared" si="2"/>
        <v>6126</v>
      </c>
      <c r="J37" s="36">
        <f t="shared" si="2"/>
        <v>802842</v>
      </c>
    </row>
    <row r="38" spans="1:10" ht="15" thickTop="1" x14ac:dyDescent="0.35">
      <c r="B38" s="10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DRS 42486 - 201710</vt:lpstr>
      <vt:lpstr>DRS 42486 - 201711</vt:lpstr>
      <vt:lpstr>DRS 42486 - 201712</vt:lpstr>
      <vt:lpstr>DRS 42486 - 201801</vt:lpstr>
      <vt:lpstr>DRS 42486 - 201802</vt:lpstr>
      <vt:lpstr>DRS 42486 - 201803</vt:lpstr>
      <vt:lpstr>DRS 42486 - 201804</vt:lpstr>
      <vt:lpstr>DRS 42486 - 201805</vt:lpstr>
      <vt:lpstr>DRS 42486 - 201806</vt:lpstr>
      <vt:lpstr>DRS 42486 - 201807</vt:lpstr>
      <vt:lpstr>DRS 42486 - 201808</vt:lpstr>
      <vt:lpstr>DRS 42486 - 201809</vt:lpstr>
      <vt:lpstr>'DRS 42486 - 201710'!Print_Area</vt:lpstr>
      <vt:lpstr>'DRS 42486 - 201711'!Print_Area</vt:lpstr>
      <vt:lpstr>'DRS 42486 - 201712'!Print_Area</vt:lpstr>
      <vt:lpstr>'DRS 42486 - 201801'!Print_Area</vt:lpstr>
      <vt:lpstr>'DRS 42486 - 201802'!Print_Area</vt:lpstr>
      <vt:lpstr>'DRS 42486 - 201803'!Print_Area</vt:lpstr>
      <vt:lpstr>'DRS 42486 - 201804'!Print_Area</vt:lpstr>
      <vt:lpstr>'DRS 42486 - 201805'!Print_Area</vt:lpstr>
      <vt:lpstr>'DRS 42486 - 201806'!Print_Area</vt:lpstr>
      <vt:lpstr>'DRS 42486 - 201807'!Print_Area</vt:lpstr>
      <vt:lpstr>'DRS 42486 - 201808'!Print_Area</vt:lpstr>
      <vt:lpstr>'DRS 42486 - 201809'!Print_Area</vt:lpstr>
    </vt:vector>
  </TitlesOfParts>
  <Company>Defense Manpower Data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Man K CIV DMDC</dc:creator>
  <cp:lastModifiedBy>Seggerman, Scott L CIV DMDC</cp:lastModifiedBy>
  <cp:lastPrinted>2016-08-31T00:34:34Z</cp:lastPrinted>
  <dcterms:created xsi:type="dcterms:W3CDTF">2012-07-23T22:14:11Z</dcterms:created>
  <dcterms:modified xsi:type="dcterms:W3CDTF">2021-04-30T17:09:23Z</dcterms:modified>
</cp:coreProperties>
</file>