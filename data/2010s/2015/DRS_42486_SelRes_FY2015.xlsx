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3300" yWindow="2250" windowWidth="15600" windowHeight="7890" firstSheet="1" activeTab="11"/>
  </bookViews>
  <sheets>
    <sheet name="201410" sheetId="26" r:id="rId1"/>
    <sheet name="201411" sheetId="17" r:id="rId2"/>
    <sheet name="201412" sheetId="19" r:id="rId3"/>
    <sheet name="201501" sheetId="22" r:id="rId4"/>
    <sheet name="201502" sheetId="18" r:id="rId5"/>
    <sheet name="201503" sheetId="15" r:id="rId6"/>
    <sheet name="201504" sheetId="16" r:id="rId7"/>
    <sheet name="201505" sheetId="21" r:id="rId8"/>
    <sheet name="201506" sheetId="25" r:id="rId9"/>
    <sheet name="201507" sheetId="20" r:id="rId10"/>
    <sheet name="201508" sheetId="13" r:id="rId11"/>
    <sheet name="201509" sheetId="14" r:id="rId12"/>
  </sheets>
  <definedNames>
    <definedName name="_xlnm.Print_Area" localSheetId="0">'201410'!$A$1:$J$38</definedName>
    <definedName name="_xlnm.Print_Area" localSheetId="1">'201411'!$A$1:$J$38</definedName>
    <definedName name="_xlnm.Print_Area" localSheetId="2">'201412'!$A$1:$J$38</definedName>
    <definedName name="_xlnm.Print_Area" localSheetId="3">'201501'!$A$1:$J$40</definedName>
    <definedName name="_xlnm.Print_Area" localSheetId="4">'201502'!$A$1:$J$40</definedName>
    <definedName name="_xlnm.Print_Area" localSheetId="5">'201503'!$A$1:$J$40</definedName>
    <definedName name="_xlnm.Print_Area" localSheetId="6">'201504'!$A$1:$J$40</definedName>
    <definedName name="_xlnm.Print_Area" localSheetId="7">'201505'!$A$1:$J$40</definedName>
    <definedName name="_xlnm.Print_Area" localSheetId="8">'201506'!$A$1:$J$40</definedName>
    <definedName name="_xlnm.Print_Area" localSheetId="9">'201507'!$A$1:$J$40</definedName>
    <definedName name="_xlnm.Print_Area" localSheetId="10">'201508'!$A$1:$J$40</definedName>
    <definedName name="_xlnm.Print_Area" localSheetId="11">'201509'!$A$1:$J$39</definedName>
  </definedNames>
  <calcPr calcId="145621"/>
</workbook>
</file>

<file path=xl/calcChain.xml><?xml version="1.0" encoding="utf-8"?>
<calcChain xmlns="http://schemas.openxmlformats.org/spreadsheetml/2006/main">
  <c r="C36" i="14" l="1"/>
  <c r="D36" i="14"/>
  <c r="E36" i="14"/>
  <c r="F36" i="14"/>
  <c r="G36" i="14"/>
  <c r="H36" i="14"/>
  <c r="I36" i="14"/>
  <c r="J36" i="14"/>
  <c r="B36" i="14"/>
  <c r="C24" i="14"/>
  <c r="D24" i="14"/>
  <c r="E24" i="14"/>
  <c r="F24" i="14"/>
  <c r="G24" i="14"/>
  <c r="H24" i="14"/>
  <c r="I24" i="14"/>
  <c r="J24" i="14"/>
  <c r="B24" i="14"/>
  <c r="H34" i="14"/>
  <c r="J34" i="14" s="1"/>
  <c r="C36" i="13"/>
  <c r="D36" i="13"/>
  <c r="E36" i="13"/>
  <c r="F36" i="13"/>
  <c r="G36" i="13"/>
  <c r="H36" i="13"/>
  <c r="I36" i="13"/>
  <c r="J36" i="13"/>
  <c r="B36" i="13"/>
  <c r="C24" i="13"/>
  <c r="D24" i="13"/>
  <c r="E24" i="13"/>
  <c r="F24" i="13"/>
  <c r="G24" i="13"/>
  <c r="H24" i="13"/>
  <c r="I24" i="13"/>
  <c r="J24" i="13"/>
  <c r="B24" i="13"/>
  <c r="H34" i="13"/>
  <c r="J34" i="13" s="1"/>
  <c r="C36" i="20"/>
  <c r="D36" i="20"/>
  <c r="E36" i="20"/>
  <c r="F36" i="20"/>
  <c r="G36" i="20"/>
  <c r="H36" i="20"/>
  <c r="I36" i="20"/>
  <c r="J36" i="20"/>
  <c r="B36" i="20"/>
  <c r="C24" i="20"/>
  <c r="D24" i="20"/>
  <c r="E24" i="20"/>
  <c r="F24" i="20"/>
  <c r="G24" i="20"/>
  <c r="H24" i="20"/>
  <c r="I24" i="20"/>
  <c r="J24" i="20"/>
  <c r="B24" i="20"/>
  <c r="H34" i="20"/>
  <c r="J34" i="20" s="1"/>
  <c r="C36" i="25"/>
  <c r="D36" i="25"/>
  <c r="E36" i="25"/>
  <c r="F36" i="25"/>
  <c r="G36" i="25"/>
  <c r="H36" i="25"/>
  <c r="I36" i="25"/>
  <c r="J36" i="25"/>
  <c r="B36" i="25"/>
  <c r="C24" i="25"/>
  <c r="D24" i="25"/>
  <c r="E24" i="25"/>
  <c r="F24" i="25"/>
  <c r="G24" i="25"/>
  <c r="H24" i="25"/>
  <c r="I24" i="25"/>
  <c r="B24" i="25"/>
  <c r="C36" i="21"/>
  <c r="D36" i="21"/>
  <c r="E36" i="21"/>
  <c r="F36" i="21"/>
  <c r="G36" i="21"/>
  <c r="H36" i="21"/>
  <c r="I36" i="21"/>
  <c r="J36" i="21"/>
  <c r="B36" i="21"/>
  <c r="H34" i="21"/>
  <c r="J34" i="21" s="1"/>
  <c r="C24" i="21"/>
  <c r="D24" i="21"/>
  <c r="E24" i="21"/>
  <c r="F24" i="21"/>
  <c r="G24" i="21"/>
  <c r="I24" i="21"/>
  <c r="B24" i="21"/>
  <c r="J36" i="16"/>
  <c r="C36" i="16"/>
  <c r="D36" i="16"/>
  <c r="E36" i="16"/>
  <c r="F36" i="16"/>
  <c r="G36" i="16"/>
  <c r="H36" i="16"/>
  <c r="I36" i="16"/>
  <c r="B36" i="16"/>
  <c r="C24" i="16"/>
  <c r="D24" i="16"/>
  <c r="E24" i="16"/>
  <c r="F24" i="16"/>
  <c r="G24" i="16"/>
  <c r="H24" i="16"/>
  <c r="I24" i="16"/>
  <c r="J24" i="16"/>
  <c r="B24" i="16"/>
  <c r="H34" i="16"/>
  <c r="J34" i="16" s="1"/>
  <c r="H22" i="16"/>
  <c r="J22" i="16" s="1"/>
  <c r="C36" i="15"/>
  <c r="D36" i="15"/>
  <c r="E36" i="15"/>
  <c r="F36" i="15"/>
  <c r="G36" i="15"/>
  <c r="H36" i="15"/>
  <c r="I36" i="15"/>
  <c r="J36" i="15"/>
  <c r="B36" i="15"/>
  <c r="H34" i="15"/>
  <c r="J34" i="15" s="1"/>
  <c r="C24" i="15"/>
  <c r="D24" i="15"/>
  <c r="E24" i="15"/>
  <c r="F24" i="15"/>
  <c r="G24" i="15"/>
  <c r="I24" i="15"/>
  <c r="B24" i="15"/>
  <c r="H22" i="15"/>
  <c r="J22" i="15" s="1"/>
  <c r="C24" i="18"/>
  <c r="D24" i="18"/>
  <c r="E24" i="18"/>
  <c r="F24" i="18"/>
  <c r="G24" i="18"/>
  <c r="I24" i="18"/>
  <c r="B24" i="18"/>
  <c r="C24" i="19"/>
  <c r="D24" i="19"/>
  <c r="E24" i="19"/>
  <c r="F24" i="19"/>
  <c r="G24" i="19"/>
  <c r="H24" i="19"/>
  <c r="I24" i="19"/>
  <c r="J24" i="19"/>
  <c r="B24" i="19"/>
  <c r="C24" i="17"/>
  <c r="D24" i="17"/>
  <c r="E24" i="17"/>
  <c r="F24" i="17"/>
  <c r="G24" i="17"/>
  <c r="H24" i="17"/>
  <c r="I24" i="17"/>
  <c r="J24" i="17"/>
  <c r="B24" i="17"/>
  <c r="H22" i="18"/>
  <c r="J22" i="18" s="1"/>
  <c r="J24" i="18" s="1"/>
  <c r="J36" i="22"/>
  <c r="C36" i="22"/>
  <c r="D36" i="22"/>
  <c r="E36" i="22"/>
  <c r="F36" i="22"/>
  <c r="G36" i="22"/>
  <c r="H36" i="22"/>
  <c r="I36" i="22"/>
  <c r="B36" i="22"/>
  <c r="H34" i="22"/>
  <c r="J34" i="22" s="1"/>
  <c r="C24" i="22"/>
  <c r="D24" i="22"/>
  <c r="E24" i="22"/>
  <c r="F24" i="22"/>
  <c r="G24" i="22"/>
  <c r="I24" i="22"/>
  <c r="B24" i="22"/>
  <c r="H24" i="18" l="1"/>
  <c r="J37" i="26"/>
  <c r="F37" i="26"/>
  <c r="B37" i="26"/>
  <c r="J36" i="26"/>
  <c r="I36" i="26"/>
  <c r="H36" i="26"/>
  <c r="G36" i="26"/>
  <c r="F36" i="26"/>
  <c r="E36" i="26"/>
  <c r="D36" i="26"/>
  <c r="C36" i="26"/>
  <c r="B36" i="26"/>
  <c r="J24" i="26"/>
  <c r="I24" i="26"/>
  <c r="I37" i="26" s="1"/>
  <c r="H24" i="26"/>
  <c r="H37" i="26" s="1"/>
  <c r="G24" i="26"/>
  <c r="G37" i="26" s="1"/>
  <c r="F24" i="26"/>
  <c r="E24" i="26"/>
  <c r="E37" i="26" s="1"/>
  <c r="D24" i="26"/>
  <c r="D37" i="26" s="1"/>
  <c r="C24" i="26"/>
  <c r="C37" i="26" s="1"/>
  <c r="B24" i="26"/>
  <c r="E37" i="25" l="1"/>
  <c r="H34" i="25"/>
  <c r="J34" i="25" s="1"/>
  <c r="H33" i="25"/>
  <c r="J33" i="25" s="1"/>
  <c r="H32" i="25"/>
  <c r="J32" i="25" s="1"/>
  <c r="H31" i="25"/>
  <c r="J31" i="25" s="1"/>
  <c r="H30" i="25"/>
  <c r="J30" i="25" s="1"/>
  <c r="H29" i="25"/>
  <c r="J29" i="25" s="1"/>
  <c r="J28" i="25"/>
  <c r="H28" i="25"/>
  <c r="H27" i="25"/>
  <c r="J27" i="25" s="1"/>
  <c r="H26" i="25"/>
  <c r="J26" i="25" s="1"/>
  <c r="H25" i="25"/>
  <c r="J25" i="25" s="1"/>
  <c r="I37" i="25"/>
  <c r="G37" i="25"/>
  <c r="F37" i="25"/>
  <c r="C37" i="25"/>
  <c r="B37" i="25"/>
  <c r="H21" i="25"/>
  <c r="J21" i="25" s="1"/>
  <c r="H20" i="25"/>
  <c r="J20" i="25" s="1"/>
  <c r="H19" i="25"/>
  <c r="J19" i="25" s="1"/>
  <c r="H18" i="25"/>
  <c r="J18" i="25" s="1"/>
  <c r="H17" i="25"/>
  <c r="J17" i="25" s="1"/>
  <c r="J22" i="25"/>
  <c r="H22" i="25"/>
  <c r="H16" i="25"/>
  <c r="J16" i="25" s="1"/>
  <c r="H15" i="25"/>
  <c r="J15" i="25" s="1"/>
  <c r="H14" i="25"/>
  <c r="J14" i="25" s="1"/>
  <c r="H13" i="25"/>
  <c r="J13" i="25" s="1"/>
  <c r="H12" i="25"/>
  <c r="J12" i="25" s="1"/>
  <c r="H11" i="25"/>
  <c r="J11" i="25" s="1"/>
  <c r="H10" i="25"/>
  <c r="J10" i="25" s="1"/>
  <c r="J9" i="25"/>
  <c r="H9" i="25"/>
  <c r="H8" i="25"/>
  <c r="J8" i="25" s="1"/>
  <c r="H7" i="25"/>
  <c r="J7" i="25" l="1"/>
  <c r="J24" i="25" s="1"/>
  <c r="J37" i="25" s="1"/>
  <c r="D37" i="25"/>
  <c r="H37" i="25"/>
  <c r="G37" i="22" l="1"/>
  <c r="F37" i="22"/>
  <c r="E37" i="22"/>
  <c r="D37" i="22"/>
  <c r="C37" i="22"/>
  <c r="J33" i="22"/>
  <c r="H33" i="22"/>
  <c r="H32" i="22"/>
  <c r="J32" i="22" s="1"/>
  <c r="H31" i="22"/>
  <c r="J31" i="22" s="1"/>
  <c r="H30" i="22"/>
  <c r="J30" i="22" s="1"/>
  <c r="H29" i="22"/>
  <c r="J29" i="22" s="1"/>
  <c r="H28" i="22"/>
  <c r="J28" i="22" s="1"/>
  <c r="H27" i="22"/>
  <c r="J27" i="22" s="1"/>
  <c r="H26" i="22"/>
  <c r="J26" i="22" s="1"/>
  <c r="H25" i="22"/>
  <c r="J25" i="22" s="1"/>
  <c r="I37" i="22"/>
  <c r="B37" i="22"/>
  <c r="H21" i="22"/>
  <c r="J21" i="22" s="1"/>
  <c r="H20" i="22"/>
  <c r="J20" i="22" s="1"/>
  <c r="H19" i="22"/>
  <c r="J19" i="22" s="1"/>
  <c r="J18" i="22"/>
  <c r="H18" i="22"/>
  <c r="H17" i="22"/>
  <c r="J17" i="22" s="1"/>
  <c r="H16" i="22"/>
  <c r="J16" i="22" s="1"/>
  <c r="H15" i="22"/>
  <c r="J15" i="22" s="1"/>
  <c r="H14" i="22"/>
  <c r="J14" i="22" s="1"/>
  <c r="H13" i="22"/>
  <c r="J13" i="22" s="1"/>
  <c r="H12" i="22"/>
  <c r="J12" i="22" s="1"/>
  <c r="H11" i="22"/>
  <c r="J11" i="22" s="1"/>
  <c r="H10" i="22"/>
  <c r="J10" i="22" s="1"/>
  <c r="H9" i="22"/>
  <c r="J9" i="22" s="1"/>
  <c r="H8" i="22"/>
  <c r="J8" i="22" s="1"/>
  <c r="H7" i="22"/>
  <c r="G37" i="21"/>
  <c r="C37" i="21"/>
  <c r="H33" i="21"/>
  <c r="J33" i="21" s="1"/>
  <c r="H32" i="21"/>
  <c r="J32" i="21" s="1"/>
  <c r="H31" i="21"/>
  <c r="J31" i="21" s="1"/>
  <c r="H30" i="21"/>
  <c r="J30" i="21" s="1"/>
  <c r="H29" i="21"/>
  <c r="J29" i="21" s="1"/>
  <c r="H28" i="21"/>
  <c r="J28" i="21" s="1"/>
  <c r="H27" i="21"/>
  <c r="J27" i="21" s="1"/>
  <c r="H26" i="21"/>
  <c r="J26" i="21" s="1"/>
  <c r="H25" i="21"/>
  <c r="I37" i="21"/>
  <c r="F37" i="21"/>
  <c r="E37" i="21"/>
  <c r="D37" i="21"/>
  <c r="B37" i="21"/>
  <c r="H21" i="21"/>
  <c r="J21" i="21" s="1"/>
  <c r="H20" i="21"/>
  <c r="J20" i="21" s="1"/>
  <c r="H19" i="21"/>
  <c r="J19" i="21" s="1"/>
  <c r="H18" i="21"/>
  <c r="J18" i="21" s="1"/>
  <c r="H17" i="21"/>
  <c r="J17" i="21" s="1"/>
  <c r="H22" i="21"/>
  <c r="J22" i="21" s="1"/>
  <c r="H16" i="21"/>
  <c r="J16" i="21" s="1"/>
  <c r="H15" i="21"/>
  <c r="J15" i="21" s="1"/>
  <c r="H14" i="21"/>
  <c r="J14" i="21" s="1"/>
  <c r="H13" i="21"/>
  <c r="J13" i="21" s="1"/>
  <c r="H12" i="21"/>
  <c r="J12" i="21" s="1"/>
  <c r="H11" i="21"/>
  <c r="J11" i="21" s="1"/>
  <c r="H10" i="21"/>
  <c r="J10" i="21" s="1"/>
  <c r="H9" i="21"/>
  <c r="J9" i="21" s="1"/>
  <c r="H8" i="21"/>
  <c r="J8" i="21" s="1"/>
  <c r="H7" i="21"/>
  <c r="H33" i="20"/>
  <c r="J33" i="20" s="1"/>
  <c r="H32" i="20"/>
  <c r="J32" i="20" s="1"/>
  <c r="H31" i="20"/>
  <c r="J31" i="20" s="1"/>
  <c r="H30" i="20"/>
  <c r="J30" i="20" s="1"/>
  <c r="H29" i="20"/>
  <c r="J29" i="20" s="1"/>
  <c r="H28" i="20"/>
  <c r="J28" i="20" s="1"/>
  <c r="H27" i="20"/>
  <c r="J27" i="20" s="1"/>
  <c r="H26" i="20"/>
  <c r="J26" i="20" s="1"/>
  <c r="H25" i="20"/>
  <c r="J25" i="20" s="1"/>
  <c r="I37" i="20"/>
  <c r="G37" i="20"/>
  <c r="F37" i="20"/>
  <c r="E37" i="20"/>
  <c r="D37" i="20"/>
  <c r="C37" i="20"/>
  <c r="B37" i="20"/>
  <c r="H21" i="20"/>
  <c r="J21" i="20" s="1"/>
  <c r="H20" i="20"/>
  <c r="J20" i="20" s="1"/>
  <c r="H19" i="20"/>
  <c r="J19" i="20" s="1"/>
  <c r="H18" i="20"/>
  <c r="J18" i="20" s="1"/>
  <c r="H17" i="20"/>
  <c r="J17" i="20" s="1"/>
  <c r="H22" i="20"/>
  <c r="J22" i="20" s="1"/>
  <c r="H16" i="20"/>
  <c r="J16" i="20" s="1"/>
  <c r="H15" i="20"/>
  <c r="J15" i="20" s="1"/>
  <c r="H14" i="20"/>
  <c r="J14" i="20" s="1"/>
  <c r="H13" i="20"/>
  <c r="J13" i="20" s="1"/>
  <c r="J12" i="20"/>
  <c r="H12" i="20"/>
  <c r="H11" i="20"/>
  <c r="J11" i="20" s="1"/>
  <c r="H10" i="20"/>
  <c r="J10" i="20" s="1"/>
  <c r="H9" i="20"/>
  <c r="J9" i="20" s="1"/>
  <c r="H8" i="20"/>
  <c r="J8" i="20" s="1"/>
  <c r="H7" i="20"/>
  <c r="D37" i="19"/>
  <c r="I36" i="19"/>
  <c r="G36" i="19"/>
  <c r="F36" i="19"/>
  <c r="E36" i="19"/>
  <c r="D36" i="19"/>
  <c r="C36" i="19"/>
  <c r="B36" i="19"/>
  <c r="J34" i="19"/>
  <c r="H34" i="19"/>
  <c r="H33" i="19"/>
  <c r="J33" i="19" s="1"/>
  <c r="J32" i="19"/>
  <c r="H32" i="19"/>
  <c r="H31" i="19"/>
  <c r="J31" i="19" s="1"/>
  <c r="J30" i="19"/>
  <c r="H30" i="19"/>
  <c r="H29" i="19"/>
  <c r="J29" i="19" s="1"/>
  <c r="J28" i="19"/>
  <c r="H28" i="19"/>
  <c r="H27" i="19"/>
  <c r="J27" i="19" s="1"/>
  <c r="J26" i="19"/>
  <c r="H26" i="19"/>
  <c r="H25" i="19"/>
  <c r="H36" i="19" s="1"/>
  <c r="G37" i="19"/>
  <c r="F37" i="19"/>
  <c r="E37" i="19"/>
  <c r="C37" i="19"/>
  <c r="B37" i="19"/>
  <c r="H22" i="19"/>
  <c r="J22" i="19" s="1"/>
  <c r="H21" i="19"/>
  <c r="J21" i="19" s="1"/>
  <c r="H20" i="19"/>
  <c r="J20" i="19" s="1"/>
  <c r="H19" i="19"/>
  <c r="J19" i="19" s="1"/>
  <c r="H18" i="19"/>
  <c r="J18" i="19" s="1"/>
  <c r="H17" i="19"/>
  <c r="J17" i="19" s="1"/>
  <c r="H16" i="19"/>
  <c r="J16" i="19" s="1"/>
  <c r="H15" i="19"/>
  <c r="J15" i="19" s="1"/>
  <c r="H14" i="19"/>
  <c r="J14" i="19" s="1"/>
  <c r="H13" i="19"/>
  <c r="J13" i="19" s="1"/>
  <c r="H12" i="19"/>
  <c r="J12" i="19" s="1"/>
  <c r="H11" i="19"/>
  <c r="J11" i="19" s="1"/>
  <c r="H10" i="19"/>
  <c r="J10" i="19" s="1"/>
  <c r="H9" i="19"/>
  <c r="J9" i="19" s="1"/>
  <c r="H8" i="19"/>
  <c r="J8" i="19" s="1"/>
  <c r="H7" i="19"/>
  <c r="J7" i="19" s="1"/>
  <c r="I36" i="18"/>
  <c r="G36" i="18"/>
  <c r="F36" i="18"/>
  <c r="E36" i="18"/>
  <c r="E37" i="18" s="1"/>
  <c r="D36" i="18"/>
  <c r="C36" i="18"/>
  <c r="B36" i="18"/>
  <c r="H34" i="18"/>
  <c r="J34" i="18" s="1"/>
  <c r="H33" i="18"/>
  <c r="J33" i="18" s="1"/>
  <c r="H32" i="18"/>
  <c r="J32" i="18" s="1"/>
  <c r="H31" i="18"/>
  <c r="J31" i="18" s="1"/>
  <c r="H30" i="18"/>
  <c r="J30" i="18" s="1"/>
  <c r="H29" i="18"/>
  <c r="J29" i="18" s="1"/>
  <c r="H28" i="18"/>
  <c r="J28" i="18" s="1"/>
  <c r="H27" i="18"/>
  <c r="J27" i="18" s="1"/>
  <c r="H26" i="18"/>
  <c r="J26" i="18" s="1"/>
  <c r="H25" i="18"/>
  <c r="J25" i="18" s="1"/>
  <c r="I37" i="18"/>
  <c r="G37" i="18"/>
  <c r="D37" i="18"/>
  <c r="C37" i="18"/>
  <c r="H21" i="18"/>
  <c r="J21" i="18" s="1"/>
  <c r="H20" i="18"/>
  <c r="J20" i="18" s="1"/>
  <c r="H19" i="18"/>
  <c r="J19" i="18" s="1"/>
  <c r="H18" i="18"/>
  <c r="J18" i="18" s="1"/>
  <c r="H17" i="18"/>
  <c r="J17" i="18" s="1"/>
  <c r="H16" i="18"/>
  <c r="J16" i="18" s="1"/>
  <c r="H15" i="18"/>
  <c r="J15" i="18" s="1"/>
  <c r="H14" i="18"/>
  <c r="J14" i="18" s="1"/>
  <c r="H13" i="18"/>
  <c r="J13" i="18" s="1"/>
  <c r="H12" i="18"/>
  <c r="J12" i="18" s="1"/>
  <c r="H11" i="18"/>
  <c r="J11" i="18" s="1"/>
  <c r="H10" i="18"/>
  <c r="J10" i="18" s="1"/>
  <c r="H9" i="18"/>
  <c r="J9" i="18" s="1"/>
  <c r="H8" i="18"/>
  <c r="H7" i="18"/>
  <c r="I37" i="17"/>
  <c r="E37" i="17"/>
  <c r="J36" i="17"/>
  <c r="I36" i="17"/>
  <c r="H36" i="17"/>
  <c r="G36" i="17"/>
  <c r="F36" i="17"/>
  <c r="E36" i="17"/>
  <c r="D36" i="17"/>
  <c r="C36" i="17"/>
  <c r="B36" i="17"/>
  <c r="J37" i="17"/>
  <c r="H37" i="17"/>
  <c r="G37" i="17"/>
  <c r="F37" i="17"/>
  <c r="D37" i="17"/>
  <c r="C37" i="17"/>
  <c r="B37" i="17"/>
  <c r="H33" i="16"/>
  <c r="J33" i="16" s="1"/>
  <c r="H32" i="16"/>
  <c r="J32" i="16" s="1"/>
  <c r="H31" i="16"/>
  <c r="J31" i="16" s="1"/>
  <c r="H30" i="16"/>
  <c r="J30" i="16" s="1"/>
  <c r="H29" i="16"/>
  <c r="J29" i="16" s="1"/>
  <c r="H28" i="16"/>
  <c r="J28" i="16" s="1"/>
  <c r="H27" i="16"/>
  <c r="J27" i="16" s="1"/>
  <c r="H26" i="16"/>
  <c r="J26" i="16" s="1"/>
  <c r="H25" i="16"/>
  <c r="J25" i="16" s="1"/>
  <c r="I37" i="16"/>
  <c r="G37" i="16"/>
  <c r="F37" i="16"/>
  <c r="E37" i="16"/>
  <c r="D37" i="16"/>
  <c r="C37" i="16"/>
  <c r="B37" i="16"/>
  <c r="J21" i="16"/>
  <c r="H21" i="16"/>
  <c r="H20" i="16"/>
  <c r="J20" i="16" s="1"/>
  <c r="J19" i="16"/>
  <c r="H19" i="16"/>
  <c r="J18" i="16"/>
  <c r="H18" i="16"/>
  <c r="J17" i="16"/>
  <c r="H17" i="16"/>
  <c r="J16" i="16"/>
  <c r="H16" i="16"/>
  <c r="J15" i="16"/>
  <c r="H15" i="16"/>
  <c r="J14" i="16"/>
  <c r="H14" i="16"/>
  <c r="J13" i="16"/>
  <c r="H13" i="16"/>
  <c r="J12" i="16"/>
  <c r="H12" i="16"/>
  <c r="J11" i="16"/>
  <c r="H11" i="16"/>
  <c r="J10" i="16"/>
  <c r="H10" i="16"/>
  <c r="J9" i="16"/>
  <c r="H9" i="16"/>
  <c r="J8" i="16"/>
  <c r="H8" i="16"/>
  <c r="J7" i="16"/>
  <c r="H7" i="16"/>
  <c r="G37" i="15"/>
  <c r="C37" i="15"/>
  <c r="H33" i="15"/>
  <c r="J33" i="15" s="1"/>
  <c r="H32" i="15"/>
  <c r="J32" i="15" s="1"/>
  <c r="H31" i="15"/>
  <c r="J31" i="15" s="1"/>
  <c r="H30" i="15"/>
  <c r="J30" i="15" s="1"/>
  <c r="H29" i="15"/>
  <c r="J29" i="15" s="1"/>
  <c r="H28" i="15"/>
  <c r="J28" i="15" s="1"/>
  <c r="H27" i="15"/>
  <c r="J27" i="15" s="1"/>
  <c r="H26" i="15"/>
  <c r="J26" i="15" s="1"/>
  <c r="H25" i="15"/>
  <c r="J25" i="15" s="1"/>
  <c r="I37" i="15"/>
  <c r="F37" i="15"/>
  <c r="E37" i="15"/>
  <c r="D37" i="15"/>
  <c r="J21" i="15"/>
  <c r="H21" i="15"/>
  <c r="H20" i="15"/>
  <c r="J20" i="15" s="1"/>
  <c r="H19" i="15"/>
  <c r="J19" i="15" s="1"/>
  <c r="H18" i="15"/>
  <c r="J18" i="15" s="1"/>
  <c r="H17" i="15"/>
  <c r="J17" i="15" s="1"/>
  <c r="H16" i="15"/>
  <c r="J16" i="15" s="1"/>
  <c r="H15" i="15"/>
  <c r="J15" i="15" s="1"/>
  <c r="H14" i="15"/>
  <c r="J14" i="15" s="1"/>
  <c r="H13" i="15"/>
  <c r="J13" i="15" s="1"/>
  <c r="H12" i="15"/>
  <c r="J12" i="15" s="1"/>
  <c r="H11" i="15"/>
  <c r="J11" i="15" s="1"/>
  <c r="H10" i="15"/>
  <c r="J10" i="15" s="1"/>
  <c r="H9" i="15"/>
  <c r="J9" i="15" s="1"/>
  <c r="H8" i="15"/>
  <c r="J8" i="15" s="1"/>
  <c r="H7" i="15"/>
  <c r="H33" i="14"/>
  <c r="J33" i="14" s="1"/>
  <c r="H32" i="14"/>
  <c r="J32" i="14" s="1"/>
  <c r="H31" i="14"/>
  <c r="J31" i="14" s="1"/>
  <c r="H30" i="14"/>
  <c r="J30" i="14" s="1"/>
  <c r="H29" i="14"/>
  <c r="J29" i="14" s="1"/>
  <c r="H28" i="14"/>
  <c r="J28" i="14" s="1"/>
  <c r="H27" i="14"/>
  <c r="J27" i="14" s="1"/>
  <c r="H26" i="14"/>
  <c r="J26" i="14" s="1"/>
  <c r="H25" i="14"/>
  <c r="G37" i="14"/>
  <c r="E37" i="14"/>
  <c r="C37" i="14"/>
  <c r="H21" i="14"/>
  <c r="J21" i="14" s="1"/>
  <c r="H20" i="14"/>
  <c r="J20" i="14" s="1"/>
  <c r="H19" i="14"/>
  <c r="J19" i="14" s="1"/>
  <c r="H18" i="14"/>
  <c r="J18" i="14" s="1"/>
  <c r="H17" i="14"/>
  <c r="J17" i="14" s="1"/>
  <c r="H22" i="14"/>
  <c r="J22" i="14" s="1"/>
  <c r="H16" i="14"/>
  <c r="J16" i="14" s="1"/>
  <c r="H15" i="14"/>
  <c r="J15" i="14" s="1"/>
  <c r="H14" i="14"/>
  <c r="J14" i="14" s="1"/>
  <c r="H13" i="14"/>
  <c r="J13" i="14" s="1"/>
  <c r="H12" i="14"/>
  <c r="J12" i="14" s="1"/>
  <c r="H11" i="14"/>
  <c r="J11" i="14" s="1"/>
  <c r="H10" i="14"/>
  <c r="J10" i="14" s="1"/>
  <c r="H9" i="14"/>
  <c r="J9" i="14" s="1"/>
  <c r="H8" i="14"/>
  <c r="J8" i="14" s="1"/>
  <c r="H7" i="14"/>
  <c r="H33" i="13"/>
  <c r="J33" i="13" s="1"/>
  <c r="H32" i="13"/>
  <c r="J32" i="13" s="1"/>
  <c r="H31" i="13"/>
  <c r="J31" i="13" s="1"/>
  <c r="H30" i="13"/>
  <c r="J30" i="13" s="1"/>
  <c r="H29" i="13"/>
  <c r="J29" i="13" s="1"/>
  <c r="H28" i="13"/>
  <c r="J28" i="13" s="1"/>
  <c r="H27" i="13"/>
  <c r="J27" i="13" s="1"/>
  <c r="H26" i="13"/>
  <c r="J26" i="13" s="1"/>
  <c r="H25" i="13"/>
  <c r="J25" i="13" s="1"/>
  <c r="I37" i="13"/>
  <c r="G37" i="13"/>
  <c r="F37" i="13"/>
  <c r="E37" i="13"/>
  <c r="D37" i="13"/>
  <c r="C37" i="13"/>
  <c r="B37" i="13"/>
  <c r="H21" i="13"/>
  <c r="J21" i="13" s="1"/>
  <c r="H20" i="13"/>
  <c r="J20" i="13" s="1"/>
  <c r="J19" i="13"/>
  <c r="H19" i="13"/>
  <c r="H18" i="13"/>
  <c r="J18" i="13" s="1"/>
  <c r="H17" i="13"/>
  <c r="J17" i="13" s="1"/>
  <c r="H22" i="13"/>
  <c r="J22" i="13" s="1"/>
  <c r="H16" i="13"/>
  <c r="J16" i="13" s="1"/>
  <c r="H15" i="13"/>
  <c r="J15" i="13" s="1"/>
  <c r="H14" i="13"/>
  <c r="J14" i="13" s="1"/>
  <c r="H13" i="13"/>
  <c r="J13" i="13" s="1"/>
  <c r="J12" i="13"/>
  <c r="H12" i="13"/>
  <c r="H11" i="13"/>
  <c r="J11" i="13" s="1"/>
  <c r="H10" i="13"/>
  <c r="J10" i="13" s="1"/>
  <c r="H9" i="13"/>
  <c r="J9" i="13" s="1"/>
  <c r="H8" i="13"/>
  <c r="J8" i="13" s="1"/>
  <c r="H7" i="13"/>
  <c r="H37" i="14" l="1"/>
  <c r="B37" i="14"/>
  <c r="F37" i="14"/>
  <c r="J25" i="14"/>
  <c r="D37" i="14"/>
  <c r="I37" i="14"/>
  <c r="J7" i="13"/>
  <c r="J7" i="21"/>
  <c r="J24" i="21" s="1"/>
  <c r="H24" i="21"/>
  <c r="J25" i="21"/>
  <c r="J7" i="15"/>
  <c r="J24" i="15" s="1"/>
  <c r="H24" i="15"/>
  <c r="J37" i="15"/>
  <c r="B37" i="15"/>
  <c r="J8" i="18"/>
  <c r="H37" i="18"/>
  <c r="B37" i="18"/>
  <c r="F37" i="18"/>
  <c r="H24" i="22"/>
  <c r="J7" i="22"/>
  <c r="J24" i="22" s="1"/>
  <c r="H37" i="21"/>
  <c r="J7" i="20"/>
  <c r="H37" i="20"/>
  <c r="H37" i="19"/>
  <c r="J25" i="19"/>
  <c r="J36" i="19" s="1"/>
  <c r="J37" i="19" s="1"/>
  <c r="J36" i="18"/>
  <c r="J7" i="18"/>
  <c r="H36" i="18"/>
  <c r="H37" i="16"/>
  <c r="J7" i="14"/>
  <c r="J37" i="13"/>
  <c r="H37" i="13"/>
  <c r="J37" i="14" l="1"/>
  <c r="J37" i="21"/>
  <c r="J37" i="16"/>
  <c r="H37" i="15"/>
  <c r="H37" i="22"/>
  <c r="J37" i="22"/>
  <c r="J37" i="20"/>
  <c r="J37" i="18"/>
</calcChain>
</file>

<file path=xl/sharedStrings.xml><?xml version="1.0" encoding="utf-8"?>
<sst xmlns="http://schemas.openxmlformats.org/spreadsheetml/2006/main" count="525" uniqueCount="62">
  <si>
    <t>Rank/Grade</t>
  </si>
  <si>
    <t>GENERAL       -ADMIRAL</t>
  </si>
  <si>
    <t>LT GENERAL    -VICE ADMIRAL</t>
  </si>
  <si>
    <t>MAJ GENERAL   -REAR ADMIRAL(U)</t>
  </si>
  <si>
    <t>BRIG GENERAL  -REAR ADMIRAL(L)</t>
  </si>
  <si>
    <t>COLONEL       -CAPTAIN</t>
  </si>
  <si>
    <t>LIEUTENANT COL-COMMANDER</t>
  </si>
  <si>
    <t>MAJOR         -LT COMMANDER</t>
  </si>
  <si>
    <t>CAPTAIN       -LIEUTENANT</t>
  </si>
  <si>
    <t>Ist LIEUTENANT-LIEUTENANT(JG)</t>
  </si>
  <si>
    <t>2nd LIEUTENANT-ENSIGN</t>
  </si>
  <si>
    <t>CHIEF WARRANT OFFICER W-5</t>
  </si>
  <si>
    <t>CHIEF WARRANT OFFICER W-4</t>
  </si>
  <si>
    <t>CHIEF WARRANT OFFICER W-3</t>
  </si>
  <si>
    <t>CHIEF WARRANT OFFICER W-2</t>
  </si>
  <si>
    <t>WARRANT OFFICER W-1</t>
  </si>
  <si>
    <t>TOTAL OFFICER</t>
  </si>
  <si>
    <t>E-9</t>
  </si>
  <si>
    <t>E-8</t>
  </si>
  <si>
    <t>E-7</t>
  </si>
  <si>
    <t>E-6</t>
  </si>
  <si>
    <t>E-5</t>
  </si>
  <si>
    <t>E-4</t>
  </si>
  <si>
    <t>E-3</t>
  </si>
  <si>
    <t>E-2</t>
  </si>
  <si>
    <t>E-1</t>
  </si>
  <si>
    <t>TOTAL ENLISTED</t>
  </si>
  <si>
    <t>GRAND TOTAL</t>
  </si>
  <si>
    <t>Department of Defense</t>
  </si>
  <si>
    <t xml:space="preserve"> </t>
  </si>
  <si>
    <t>Selected Reserves by Rank/Grade</t>
  </si>
  <si>
    <t>Army National Guard</t>
  </si>
  <si>
    <t>Army Reserve</t>
  </si>
  <si>
    <t>Navy Reserve</t>
  </si>
  <si>
    <t>Marine Corps Reserve</t>
  </si>
  <si>
    <t>Air National Guard</t>
  </si>
  <si>
    <t>Air Force Reserve</t>
  </si>
  <si>
    <t>Total DoD</t>
  </si>
  <si>
    <t>Coast Guard Reserve</t>
  </si>
  <si>
    <t>TOTAL</t>
  </si>
  <si>
    <t xml:space="preserve"> August 31, 2015</t>
  </si>
  <si>
    <t>Coast Guard Reserve*</t>
  </si>
  <si>
    <t>NOTE: Coast Guard did not submit a August 2015 submission, December 2014 is shown.</t>
  </si>
  <si>
    <t xml:space="preserve"> September 30, 2015</t>
  </si>
  <si>
    <t xml:space="preserve"> March 31, 2015</t>
  </si>
  <si>
    <t>NOTE: Coast Guard did not submit a March 2015 submission, December 2014 is shown.</t>
  </si>
  <si>
    <t xml:space="preserve"> April 30, 2015</t>
  </si>
  <si>
    <t>NOTE: Coast Guard did not submit a April 2015 submission, December 2014 is shown.</t>
  </si>
  <si>
    <t xml:space="preserve"> November 30, 2014</t>
  </si>
  <si>
    <t xml:space="preserve"> February 28, 2015</t>
  </si>
  <si>
    <t>NOTE: Coast Guard did not submit a February 2015 submission, December 2014 is shown.</t>
  </si>
  <si>
    <t xml:space="preserve"> December 31, 2014</t>
  </si>
  <si>
    <t xml:space="preserve"> July 31, 2015</t>
  </si>
  <si>
    <t>NOTE: Coast Guard did not submit a July 2015 submission, December 2014 is shown.</t>
  </si>
  <si>
    <t xml:space="preserve"> May 31, 2015</t>
  </si>
  <si>
    <t>NOTE: Coast Guard did not submit a May 2015 submission, December 2014 is shown.</t>
  </si>
  <si>
    <t xml:space="preserve"> January 31, 2015</t>
  </si>
  <si>
    <t>NOTE: Coast Guard did not submit a January 2015 submission, December 2014 is shown.</t>
  </si>
  <si>
    <t xml:space="preserve"> October 31, 2014</t>
  </si>
  <si>
    <t>OFFICER UNKNOWN GRADE</t>
  </si>
  <si>
    <t>ENLISTED UNKNOWN GRADE</t>
  </si>
  <si>
    <t>ENLSITED UNKNOWN 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</si>
</sst>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mmmm\ d\,\ yyyy;@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Tahoma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Courier New"/>
      <family val="3"/>
    </font>
    <font>
      <b/>
      <sz val="10"/>
      <name val="Arial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b/>
      <sz val="11"/>
      <color theme="1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/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58">
    <xf numFmtId="0" fontId="0" fillId="0" borderId="0"/>
    <xf numFmtId="0" fontId="3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5" applyNumberFormat="0" applyAlignment="0" applyProtection="0"/>
    <xf numFmtId="0" fontId="11" fillId="7" borderId="6" applyNumberFormat="0" applyAlignment="0" applyProtection="0"/>
    <xf numFmtId="0" fontId="12" fillId="7" borderId="5" applyNumberFormat="0" applyAlignment="0" applyProtection="0"/>
    <xf numFmtId="0" fontId="13" fillId="0" borderId="7" applyNumberFormat="0" applyFill="0" applyAlignment="0" applyProtection="0"/>
    <xf numFmtId="0" fontId="14" fillId="8" borderId="8" applyNumberFormat="0" applyAlignment="0" applyProtection="0"/>
    <xf numFmtId="0" fontId="15" fillId="0" borderId="0" applyNumberFormat="0" applyFill="0" applyBorder="0" applyAlignment="0" applyProtection="0"/>
    <xf numFmtId="0" fontId="2" fillId="9" borderId="9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10" applyNumberFormat="0" applyFill="0" applyAlignment="0" applyProtection="0"/>
    <xf numFmtId="0" fontId="17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7" fillId="33" borderId="0" applyNumberFormat="0" applyBorder="0" applyAlignment="0" applyProtection="0"/>
    <xf numFmtId="0" fontId="18" fillId="0" borderId="0"/>
    <xf numFmtId="0" fontId="19" fillId="0" borderId="0"/>
    <xf numFmtId="43" fontId="19" fillId="0" borderId="0" applyFont="0" applyFill="0" applyBorder="0" applyAlignment="0" applyProtection="0"/>
    <xf numFmtId="43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0" fillId="0" borderId="0"/>
    <xf numFmtId="0" fontId="21" fillId="0" borderId="0"/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0" fontId="24" fillId="0" borderId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25" fillId="0" borderId="0"/>
  </cellStyleXfs>
  <cellXfs count="73">
    <xf numFmtId="0" fontId="0" fillId="0" borderId="0" xfId="0"/>
    <xf numFmtId="0" fontId="1" fillId="0" borderId="0" xfId="0" applyFont="1"/>
    <xf numFmtId="3" fontId="0" fillId="0" borderId="1" xfId="0" applyNumberFormat="1" applyBorder="1"/>
    <xf numFmtId="0" fontId="0" fillId="0" borderId="0" xfId="0" applyAlignment="1">
      <alignment vertical="center"/>
    </xf>
    <xf numFmtId="3" fontId="0" fillId="0" borderId="12" xfId="0" applyNumberFormat="1" applyBorder="1"/>
    <xf numFmtId="3" fontId="0" fillId="0" borderId="18" xfId="0" applyNumberFormat="1" applyBorder="1"/>
    <xf numFmtId="3" fontId="0" fillId="0" borderId="16" xfId="0" applyNumberFormat="1" applyBorder="1"/>
    <xf numFmtId="3" fontId="0" fillId="0" borderId="13" xfId="0" applyNumberFormat="1" applyBorder="1"/>
    <xf numFmtId="3" fontId="0" fillId="0" borderId="15" xfId="0" applyNumberFormat="1" applyBorder="1"/>
    <xf numFmtId="3" fontId="0" fillId="0" borderId="14" xfId="0" applyNumberFormat="1" applyBorder="1"/>
    <xf numFmtId="3" fontId="0" fillId="0" borderId="17" xfId="0" applyNumberFormat="1" applyBorder="1"/>
    <xf numFmtId="0" fontId="27" fillId="0" borderId="20" xfId="0" applyFont="1" applyBorder="1"/>
    <xf numFmtId="3" fontId="0" fillId="0" borderId="0" xfId="0" applyNumberFormat="1"/>
    <xf numFmtId="0" fontId="0" fillId="0" borderId="0" xfId="0" applyAlignment="1">
      <alignment wrapText="1"/>
    </xf>
    <xf numFmtId="0" fontId="30" fillId="0" borderId="28" xfId="0" applyFont="1" applyBorder="1" applyAlignment="1">
      <alignment horizontal="center" wrapText="1"/>
    </xf>
    <xf numFmtId="0" fontId="30" fillId="0" borderId="27" xfId="0" applyFont="1" applyFill="1" applyBorder="1" applyAlignment="1">
      <alignment horizontal="center" wrapText="1"/>
    </xf>
    <xf numFmtId="0" fontId="30" fillId="0" borderId="36" xfId="0" applyFont="1" applyBorder="1" applyAlignment="1">
      <alignment vertical="center" wrapText="1"/>
    </xf>
    <xf numFmtId="0" fontId="30" fillId="0" borderId="37" xfId="0" applyFont="1" applyBorder="1" applyAlignment="1">
      <alignment horizontal="center" wrapText="1"/>
    </xf>
    <xf numFmtId="0" fontId="26" fillId="0" borderId="36" xfId="0" applyFont="1" applyBorder="1"/>
    <xf numFmtId="3" fontId="0" fillId="0" borderId="38" xfId="0" applyNumberFormat="1" applyFill="1" applyBorder="1"/>
    <xf numFmtId="0" fontId="27" fillId="0" borderId="36" xfId="0" applyFont="1" applyBorder="1"/>
    <xf numFmtId="3" fontId="0" fillId="0" borderId="39" xfId="0" applyNumberFormat="1" applyBorder="1"/>
    <xf numFmtId="0" fontId="27" fillId="0" borderId="40" xfId="0" applyFont="1" applyBorder="1"/>
    <xf numFmtId="3" fontId="0" fillId="0" borderId="38" xfId="0" applyNumberFormat="1" applyBorder="1"/>
    <xf numFmtId="3" fontId="0" fillId="0" borderId="41" xfId="0" applyNumberFormat="1" applyBorder="1"/>
    <xf numFmtId="0" fontId="30" fillId="0" borderId="28" xfId="0" applyFont="1" applyFill="1" applyBorder="1" applyAlignment="1">
      <alignment horizontal="center" wrapText="1"/>
    </xf>
    <xf numFmtId="3" fontId="0" fillId="0" borderId="24" xfId="0" applyNumberFormat="1" applyBorder="1"/>
    <xf numFmtId="3" fontId="0" fillId="0" borderId="11" xfId="0" applyNumberFormat="1" applyBorder="1"/>
    <xf numFmtId="3" fontId="0" fillId="0" borderId="22" xfId="0" applyNumberFormat="1" applyBorder="1"/>
    <xf numFmtId="3" fontId="0" fillId="0" borderId="23" xfId="0" applyNumberFormat="1" applyBorder="1"/>
    <xf numFmtId="0" fontId="30" fillId="0" borderId="46" xfId="0" applyFont="1" applyFill="1" applyBorder="1" applyAlignment="1">
      <alignment horizontal="center" wrapText="1"/>
    </xf>
    <xf numFmtId="3" fontId="1" fillId="2" borderId="25" xfId="0" applyNumberFormat="1" applyFont="1" applyFill="1" applyBorder="1"/>
    <xf numFmtId="3" fontId="1" fillId="34" borderId="50" xfId="0" applyNumberFormat="1" applyFont="1" applyFill="1" applyBorder="1" applyAlignment="1">
      <alignment vertical="center"/>
    </xf>
    <xf numFmtId="0" fontId="30" fillId="2" borderId="44" xfId="0" applyFont="1" applyFill="1" applyBorder="1" applyAlignment="1">
      <alignment horizontal="center" wrapText="1"/>
    </xf>
    <xf numFmtId="3" fontId="1" fillId="2" borderId="47" xfId="0" applyNumberFormat="1" applyFont="1" applyFill="1" applyBorder="1"/>
    <xf numFmtId="3" fontId="1" fillId="2" borderId="48" xfId="0" applyNumberFormat="1" applyFont="1" applyFill="1" applyBorder="1"/>
    <xf numFmtId="3" fontId="1" fillId="2" borderId="49" xfId="0" applyNumberFormat="1" applyFont="1" applyFill="1" applyBorder="1"/>
    <xf numFmtId="3" fontId="1" fillId="2" borderId="19" xfId="0" applyNumberFormat="1" applyFont="1" applyFill="1" applyBorder="1"/>
    <xf numFmtId="3" fontId="1" fillId="2" borderId="26" xfId="0" applyNumberFormat="1" applyFont="1" applyFill="1" applyBorder="1"/>
    <xf numFmtId="3" fontId="1" fillId="2" borderId="42" xfId="0" applyNumberFormat="1" applyFont="1" applyFill="1" applyBorder="1"/>
    <xf numFmtId="3" fontId="1" fillId="34" borderId="21" xfId="0" applyNumberFormat="1" applyFont="1" applyFill="1" applyBorder="1" applyAlignment="1">
      <alignment vertical="center"/>
    </xf>
    <xf numFmtId="3" fontId="1" fillId="34" borderId="45" xfId="0" applyNumberFormat="1" applyFont="1" applyFill="1" applyBorder="1" applyAlignment="1">
      <alignment vertical="center"/>
    </xf>
    <xf numFmtId="3" fontId="1" fillId="34" borderId="43" xfId="0" applyNumberFormat="1" applyFont="1" applyFill="1" applyBorder="1" applyAlignment="1">
      <alignment vertical="center"/>
    </xf>
    <xf numFmtId="3" fontId="0" fillId="0" borderId="41" xfId="0" applyNumberFormat="1" applyFill="1" applyBorder="1"/>
    <xf numFmtId="3" fontId="1" fillId="2" borderId="51" xfId="0" applyNumberFormat="1" applyFont="1" applyFill="1" applyBorder="1"/>
    <xf numFmtId="3" fontId="0" fillId="0" borderId="52" xfId="0" applyNumberFormat="1" applyBorder="1"/>
    <xf numFmtId="3" fontId="0" fillId="0" borderId="52" xfId="0" applyNumberFormat="1" applyFill="1" applyBorder="1"/>
    <xf numFmtId="0" fontId="0" fillId="0" borderId="53" xfId="0" applyBorder="1" applyAlignment="1">
      <alignment horizontal="right" wrapText="1"/>
    </xf>
    <xf numFmtId="0" fontId="28" fillId="0" borderId="29" xfId="0" applyFont="1" applyBorder="1" applyAlignment="1">
      <alignment horizontal="center"/>
    </xf>
    <xf numFmtId="0" fontId="28" fillId="0" borderId="30" xfId="0" applyFont="1" applyBorder="1" applyAlignment="1">
      <alignment horizontal="center"/>
    </xf>
    <xf numFmtId="0" fontId="28" fillId="0" borderId="31" xfId="0" applyFont="1" applyBorder="1" applyAlignment="1">
      <alignment horizontal="center"/>
    </xf>
    <xf numFmtId="0" fontId="28" fillId="0" borderId="32" xfId="0" applyFont="1" applyBorder="1" applyAlignment="1">
      <alignment horizontal="center"/>
    </xf>
    <xf numFmtId="0" fontId="28" fillId="0" borderId="0" xfId="0" applyFont="1" applyBorder="1" applyAlignment="1">
      <alignment horizontal="center"/>
    </xf>
    <xf numFmtId="0" fontId="28" fillId="0" borderId="33" xfId="0" applyFont="1" applyBorder="1" applyAlignment="1">
      <alignment horizontal="center"/>
    </xf>
    <xf numFmtId="15" fontId="29" fillId="0" borderId="32" xfId="0" quotePrefix="1" applyNumberFormat="1" applyFont="1" applyBorder="1" applyAlignment="1">
      <alignment horizontal="center"/>
    </xf>
    <xf numFmtId="15" fontId="29" fillId="0" borderId="0" xfId="0" quotePrefix="1" applyNumberFormat="1" applyFont="1" applyBorder="1" applyAlignment="1">
      <alignment horizontal="center"/>
    </xf>
    <xf numFmtId="15" fontId="29" fillId="0" borderId="33" xfId="0" quotePrefix="1" applyNumberFormat="1" applyFont="1" applyBorder="1" applyAlignment="1">
      <alignment horizontal="center"/>
    </xf>
    <xf numFmtId="0" fontId="29" fillId="0" borderId="32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0" fontId="29" fillId="0" borderId="33" xfId="0" applyFont="1" applyBorder="1" applyAlignment="1">
      <alignment horizontal="center"/>
    </xf>
    <xf numFmtId="0" fontId="0" fillId="2" borderId="34" xfId="0" applyFont="1" applyFill="1" applyBorder="1" applyAlignment="1">
      <alignment horizontal="center"/>
    </xf>
    <xf numFmtId="0" fontId="0" fillId="2" borderId="26" xfId="0" applyFont="1" applyFill="1" applyBorder="1" applyAlignment="1">
      <alignment horizontal="center"/>
    </xf>
    <xf numFmtId="0" fontId="0" fillId="2" borderId="35" xfId="0" applyFont="1" applyFill="1" applyBorder="1" applyAlignment="1">
      <alignment horizontal="center"/>
    </xf>
    <xf numFmtId="164" fontId="29" fillId="0" borderId="32" xfId="0" quotePrefix="1" applyNumberFormat="1" applyFont="1" applyBorder="1" applyAlignment="1">
      <alignment horizontal="center"/>
    </xf>
    <xf numFmtId="164" fontId="29" fillId="0" borderId="0" xfId="0" quotePrefix="1" applyNumberFormat="1" applyFont="1" applyBorder="1" applyAlignment="1">
      <alignment horizontal="center"/>
    </xf>
    <xf numFmtId="164" fontId="29" fillId="0" borderId="33" xfId="0" quotePrefix="1" applyNumberFormat="1" applyFont="1" applyBorder="1" applyAlignment="1">
      <alignment horizontal="center"/>
    </xf>
    <xf numFmtId="3" fontId="1" fillId="2" borderId="37" xfId="0" applyNumberFormat="1" applyFont="1" applyFill="1" applyBorder="1"/>
    <xf numFmtId="3" fontId="1" fillId="34" borderId="54" xfId="0" applyNumberFormat="1" applyFont="1" applyFill="1" applyBorder="1" applyAlignment="1">
      <alignment vertical="center"/>
    </xf>
    <xf numFmtId="3" fontId="1" fillId="2" borderId="44" xfId="0" applyNumberFormat="1" applyFont="1" applyFill="1" applyBorder="1"/>
    <xf numFmtId="3" fontId="0" fillId="0" borderId="0" xfId="0" applyNumberFormat="1" applyBorder="1"/>
    <xf numFmtId="3" fontId="0" fillId="0" borderId="55" xfId="0" applyNumberFormat="1" applyBorder="1"/>
    <xf numFmtId="3" fontId="1" fillId="2" borderId="56" xfId="0" applyNumberFormat="1" applyFont="1" applyFill="1" applyBorder="1"/>
    <xf numFmtId="3" fontId="1" fillId="34" borderId="57" xfId="0" applyNumberFormat="1" applyFont="1" applyFill="1" applyBorder="1" applyAlignment="1">
      <alignment vertical="center"/>
    </xf>
  </cellXfs>
  <cellStyles count="58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44"/>
    <cellStyle name="Comma 2 2" xfId="51"/>
    <cellStyle name="Comma 2 3" xfId="53"/>
    <cellStyle name="Comma 3" xfId="45"/>
    <cellStyle name="Comma 3 2" xfId="56"/>
    <cellStyle name="Comma 4" xfId="55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rmal 3" xfId="43"/>
    <cellStyle name="Normal 4" xfId="47"/>
    <cellStyle name="Normal 5" xfId="48"/>
    <cellStyle name="Normal 6" xfId="50"/>
    <cellStyle name="Normal 7" xfId="52"/>
    <cellStyle name="Normal 8" xfId="54"/>
    <cellStyle name="Normal 9" xfId="57"/>
    <cellStyle name="Note" xfId="15" builtinId="10" customBuiltin="1"/>
    <cellStyle name="Output" xfId="10" builtinId="21" customBuiltin="1"/>
    <cellStyle name="Percent 2" xfId="46"/>
    <cellStyle name="Percent 3" xfId="49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1"/>
  <sheetViews>
    <sheetView workbookViewId="0">
      <selection activeCell="A3" sqref="A3:J3"/>
    </sheetView>
  </sheetViews>
  <sheetFormatPr defaultRowHeight="15" x14ac:dyDescent="0.25"/>
  <cols>
    <col min="1" max="1" width="40.85546875" style="1" bestFit="1" customWidth="1"/>
    <col min="2" max="10" width="15.7109375" customWidth="1"/>
  </cols>
  <sheetData>
    <row r="1" spans="1:10" ht="19.5" thickTop="1" x14ac:dyDescent="0.3">
      <c r="A1" s="48" t="s">
        <v>28</v>
      </c>
      <c r="B1" s="49"/>
      <c r="C1" s="49"/>
      <c r="D1" s="49"/>
      <c r="E1" s="49"/>
      <c r="F1" s="49"/>
      <c r="G1" s="49"/>
      <c r="H1" s="49"/>
      <c r="I1" s="49"/>
      <c r="J1" s="50"/>
    </row>
    <row r="2" spans="1:10" ht="18.75" x14ac:dyDescent="0.3">
      <c r="A2" s="51" t="s">
        <v>30</v>
      </c>
      <c r="B2" s="52"/>
      <c r="C2" s="52"/>
      <c r="D2" s="52"/>
      <c r="E2" s="52"/>
      <c r="F2" s="52"/>
      <c r="G2" s="52"/>
      <c r="H2" s="52"/>
      <c r="I2" s="52"/>
      <c r="J2" s="53"/>
    </row>
    <row r="3" spans="1:10" ht="18.75" x14ac:dyDescent="0.3">
      <c r="A3" s="54" t="s">
        <v>58</v>
      </c>
      <c r="B3" s="55"/>
      <c r="C3" s="55"/>
      <c r="D3" s="55"/>
      <c r="E3" s="55"/>
      <c r="F3" s="55"/>
      <c r="G3" s="55"/>
      <c r="H3" s="55"/>
      <c r="I3" s="55"/>
      <c r="J3" s="56"/>
    </row>
    <row r="4" spans="1:10" ht="19.5" thickBot="1" x14ac:dyDescent="0.35">
      <c r="A4" s="57"/>
      <c r="B4" s="58"/>
      <c r="C4" s="58"/>
      <c r="D4" s="58"/>
      <c r="E4" s="58"/>
      <c r="F4" s="58"/>
      <c r="G4" s="58"/>
      <c r="H4" s="58"/>
      <c r="I4" s="58"/>
      <c r="J4" s="59"/>
    </row>
    <row r="5" spans="1:10" ht="15.75" thickBot="1" x14ac:dyDescent="0.3">
      <c r="A5" s="60"/>
      <c r="B5" s="61"/>
      <c r="C5" s="61"/>
      <c r="D5" s="61"/>
      <c r="E5" s="61"/>
      <c r="F5" s="61"/>
      <c r="G5" s="61"/>
      <c r="H5" s="61"/>
      <c r="I5" s="61"/>
      <c r="J5" s="62"/>
    </row>
    <row r="6" spans="1:10" s="13" customFormat="1" ht="30.75" thickBot="1" x14ac:dyDescent="0.3">
      <c r="A6" s="16" t="s">
        <v>0</v>
      </c>
      <c r="B6" s="14" t="s">
        <v>31</v>
      </c>
      <c r="C6" s="15" t="s">
        <v>32</v>
      </c>
      <c r="D6" s="15" t="s">
        <v>33</v>
      </c>
      <c r="E6" s="15" t="s">
        <v>34</v>
      </c>
      <c r="F6" s="15" t="s">
        <v>35</v>
      </c>
      <c r="G6" s="25" t="s">
        <v>36</v>
      </c>
      <c r="H6" s="33" t="s">
        <v>37</v>
      </c>
      <c r="I6" s="30" t="s">
        <v>38</v>
      </c>
      <c r="J6" s="17" t="s">
        <v>39</v>
      </c>
    </row>
    <row r="7" spans="1:10" ht="15.75" thickTop="1" x14ac:dyDescent="0.25">
      <c r="A7" s="18" t="s">
        <v>1</v>
      </c>
      <c r="B7" s="5">
        <v>1</v>
      </c>
      <c r="C7" s="6">
        <v>0</v>
      </c>
      <c r="D7" s="6">
        <v>0</v>
      </c>
      <c r="E7" s="6">
        <v>0</v>
      </c>
      <c r="F7" s="6">
        <v>0</v>
      </c>
      <c r="G7" s="26">
        <v>0</v>
      </c>
      <c r="H7" s="34">
        <v>1</v>
      </c>
      <c r="I7" s="5">
        <v>0</v>
      </c>
      <c r="J7" s="19">
        <v>1</v>
      </c>
    </row>
    <row r="8" spans="1:10" x14ac:dyDescent="0.25">
      <c r="A8" s="18" t="s">
        <v>2</v>
      </c>
      <c r="B8" s="4">
        <v>0</v>
      </c>
      <c r="C8" s="2">
        <v>0</v>
      </c>
      <c r="D8" s="2">
        <v>0</v>
      </c>
      <c r="E8" s="2">
        <v>0</v>
      </c>
      <c r="F8" s="2">
        <v>4</v>
      </c>
      <c r="G8" s="27">
        <v>0</v>
      </c>
      <c r="H8" s="34">
        <v>4</v>
      </c>
      <c r="I8" s="4">
        <v>0</v>
      </c>
      <c r="J8" s="19">
        <v>4</v>
      </c>
    </row>
    <row r="9" spans="1:10" x14ac:dyDescent="0.25">
      <c r="A9" s="18" t="s">
        <v>3</v>
      </c>
      <c r="B9" s="4">
        <v>65</v>
      </c>
      <c r="C9" s="2">
        <v>33</v>
      </c>
      <c r="D9" s="2">
        <v>17</v>
      </c>
      <c r="E9" s="2">
        <v>5</v>
      </c>
      <c r="F9" s="2">
        <v>39</v>
      </c>
      <c r="G9" s="27">
        <v>22</v>
      </c>
      <c r="H9" s="34">
        <v>181</v>
      </c>
      <c r="I9" s="4">
        <v>1</v>
      </c>
      <c r="J9" s="19">
        <v>182</v>
      </c>
    </row>
    <row r="10" spans="1:10" x14ac:dyDescent="0.25">
      <c r="A10" s="18" t="s">
        <v>4</v>
      </c>
      <c r="B10" s="4">
        <v>144</v>
      </c>
      <c r="C10" s="2">
        <v>74</v>
      </c>
      <c r="D10" s="2">
        <v>32</v>
      </c>
      <c r="E10" s="2">
        <v>7</v>
      </c>
      <c r="F10" s="2">
        <v>112</v>
      </c>
      <c r="G10" s="27">
        <v>56</v>
      </c>
      <c r="H10" s="34">
        <v>425</v>
      </c>
      <c r="I10" s="4">
        <v>1</v>
      </c>
      <c r="J10" s="19">
        <v>426</v>
      </c>
    </row>
    <row r="11" spans="1:10" x14ac:dyDescent="0.25">
      <c r="A11" s="18" t="s">
        <v>5</v>
      </c>
      <c r="B11" s="4">
        <v>1478</v>
      </c>
      <c r="C11" s="2">
        <v>1824</v>
      </c>
      <c r="D11" s="2">
        <v>1321</v>
      </c>
      <c r="E11" s="2">
        <v>306</v>
      </c>
      <c r="F11" s="2">
        <v>1004</v>
      </c>
      <c r="G11" s="27">
        <v>1106</v>
      </c>
      <c r="H11" s="34">
        <v>7039</v>
      </c>
      <c r="I11" s="4">
        <v>39</v>
      </c>
      <c r="J11" s="19">
        <v>7078</v>
      </c>
    </row>
    <row r="12" spans="1:10" x14ac:dyDescent="0.25">
      <c r="A12" s="18" t="s">
        <v>6</v>
      </c>
      <c r="B12" s="4">
        <v>3705</v>
      </c>
      <c r="C12" s="2">
        <v>5535</v>
      </c>
      <c r="D12" s="2">
        <v>3272</v>
      </c>
      <c r="E12" s="2">
        <v>837</v>
      </c>
      <c r="F12" s="2">
        <v>4029</v>
      </c>
      <c r="G12" s="27">
        <v>4126</v>
      </c>
      <c r="H12" s="34">
        <v>21504</v>
      </c>
      <c r="I12" s="4">
        <v>156</v>
      </c>
      <c r="J12" s="19">
        <v>21660</v>
      </c>
    </row>
    <row r="13" spans="1:10" x14ac:dyDescent="0.25">
      <c r="A13" s="18" t="s">
        <v>7</v>
      </c>
      <c r="B13" s="4">
        <v>6701</v>
      </c>
      <c r="C13" s="2">
        <v>6904</v>
      </c>
      <c r="D13" s="2">
        <v>4596</v>
      </c>
      <c r="E13" s="2">
        <v>1082</v>
      </c>
      <c r="F13" s="2">
        <v>4198</v>
      </c>
      <c r="G13" s="27">
        <v>4826</v>
      </c>
      <c r="H13" s="34">
        <v>28307</v>
      </c>
      <c r="I13" s="4">
        <v>299</v>
      </c>
      <c r="J13" s="19">
        <v>28606</v>
      </c>
    </row>
    <row r="14" spans="1:10" x14ac:dyDescent="0.25">
      <c r="A14" s="18" t="s">
        <v>8</v>
      </c>
      <c r="B14" s="4">
        <v>10653</v>
      </c>
      <c r="C14" s="2">
        <v>10554</v>
      </c>
      <c r="D14" s="2">
        <v>3780</v>
      </c>
      <c r="E14" s="2">
        <v>1224</v>
      </c>
      <c r="F14" s="2">
        <v>3364</v>
      </c>
      <c r="G14" s="27">
        <v>2835</v>
      </c>
      <c r="H14" s="34">
        <v>32410</v>
      </c>
      <c r="I14" s="4">
        <v>428</v>
      </c>
      <c r="J14" s="19">
        <v>32838</v>
      </c>
    </row>
    <row r="15" spans="1:10" x14ac:dyDescent="0.25">
      <c r="A15" s="18" t="s">
        <v>9</v>
      </c>
      <c r="B15" s="4">
        <v>8767</v>
      </c>
      <c r="C15" s="2">
        <v>4616</v>
      </c>
      <c r="D15" s="2">
        <v>974</v>
      </c>
      <c r="E15" s="2">
        <v>242</v>
      </c>
      <c r="F15" s="2">
        <v>1166</v>
      </c>
      <c r="G15" s="27">
        <v>513</v>
      </c>
      <c r="H15" s="34">
        <v>16278</v>
      </c>
      <c r="I15" s="4">
        <v>81</v>
      </c>
      <c r="J15" s="19">
        <v>16359</v>
      </c>
    </row>
    <row r="16" spans="1:10" x14ac:dyDescent="0.25">
      <c r="A16" s="18" t="s">
        <v>10</v>
      </c>
      <c r="B16" s="4">
        <v>5473</v>
      </c>
      <c r="C16" s="2">
        <v>2696</v>
      </c>
      <c r="D16" s="2">
        <v>634</v>
      </c>
      <c r="E16" s="2">
        <v>282</v>
      </c>
      <c r="F16" s="2">
        <v>1159</v>
      </c>
      <c r="G16" s="27">
        <v>381</v>
      </c>
      <c r="H16" s="34">
        <v>10625</v>
      </c>
      <c r="I16" s="4">
        <v>58</v>
      </c>
      <c r="J16" s="19">
        <v>10683</v>
      </c>
    </row>
    <row r="17" spans="1:10" x14ac:dyDescent="0.25">
      <c r="A17" s="18" t="s">
        <v>11</v>
      </c>
      <c r="B17" s="4">
        <v>372</v>
      </c>
      <c r="C17" s="2">
        <v>99</v>
      </c>
      <c r="D17" s="2">
        <v>1</v>
      </c>
      <c r="E17" s="2">
        <v>10</v>
      </c>
      <c r="F17" s="2">
        <v>0</v>
      </c>
      <c r="G17" s="27">
        <v>0</v>
      </c>
      <c r="H17" s="34">
        <v>482</v>
      </c>
      <c r="I17" s="4">
        <v>0</v>
      </c>
      <c r="J17" s="19">
        <v>482</v>
      </c>
    </row>
    <row r="18" spans="1:10" x14ac:dyDescent="0.25">
      <c r="A18" s="18" t="s">
        <v>12</v>
      </c>
      <c r="B18" s="4">
        <v>1500</v>
      </c>
      <c r="C18" s="2">
        <v>565</v>
      </c>
      <c r="D18" s="2">
        <v>11</v>
      </c>
      <c r="E18" s="2">
        <v>52</v>
      </c>
      <c r="F18" s="2">
        <v>0</v>
      </c>
      <c r="G18" s="27">
        <v>0</v>
      </c>
      <c r="H18" s="34">
        <v>2128</v>
      </c>
      <c r="I18" s="4">
        <v>21</v>
      </c>
      <c r="J18" s="19">
        <v>2149</v>
      </c>
    </row>
    <row r="19" spans="1:10" x14ac:dyDescent="0.25">
      <c r="A19" s="18" t="s">
        <v>13</v>
      </c>
      <c r="B19" s="4">
        <v>2022</v>
      </c>
      <c r="C19" s="2">
        <v>757</v>
      </c>
      <c r="D19" s="2">
        <v>29</v>
      </c>
      <c r="E19" s="2">
        <v>81</v>
      </c>
      <c r="F19" s="2">
        <v>0</v>
      </c>
      <c r="G19" s="27">
        <v>0</v>
      </c>
      <c r="H19" s="34">
        <v>2889</v>
      </c>
      <c r="I19" s="4">
        <v>55</v>
      </c>
      <c r="J19" s="19">
        <v>2944</v>
      </c>
    </row>
    <row r="20" spans="1:10" x14ac:dyDescent="0.25">
      <c r="A20" s="18" t="s">
        <v>14</v>
      </c>
      <c r="B20" s="4">
        <v>3579</v>
      </c>
      <c r="C20" s="2">
        <v>1447</v>
      </c>
      <c r="D20" s="2">
        <v>41</v>
      </c>
      <c r="E20" s="2">
        <v>111</v>
      </c>
      <c r="F20" s="2">
        <v>0</v>
      </c>
      <c r="G20" s="27">
        <v>0</v>
      </c>
      <c r="H20" s="34">
        <v>5178</v>
      </c>
      <c r="I20" s="4">
        <v>51</v>
      </c>
      <c r="J20" s="19">
        <v>5229</v>
      </c>
    </row>
    <row r="21" spans="1:10" x14ac:dyDescent="0.25">
      <c r="A21" s="18" t="s">
        <v>15</v>
      </c>
      <c r="B21" s="7">
        <v>1132</v>
      </c>
      <c r="C21" s="8">
        <v>390</v>
      </c>
      <c r="D21" s="8">
        <v>0</v>
      </c>
      <c r="E21" s="8">
        <v>13</v>
      </c>
      <c r="F21" s="8">
        <v>0</v>
      </c>
      <c r="G21" s="28">
        <v>0</v>
      </c>
      <c r="H21" s="36">
        <v>1535</v>
      </c>
      <c r="I21" s="7">
        <v>0</v>
      </c>
      <c r="J21" s="43">
        <v>1535</v>
      </c>
    </row>
    <row r="22" spans="1:10" x14ac:dyDescent="0.25">
      <c r="A22" s="18" t="s">
        <v>59</v>
      </c>
      <c r="B22" s="4">
        <v>0</v>
      </c>
      <c r="C22" s="2">
        <v>0</v>
      </c>
      <c r="D22" s="2">
        <v>0</v>
      </c>
      <c r="E22" s="2">
        <v>0</v>
      </c>
      <c r="F22" s="2">
        <v>2</v>
      </c>
      <c r="G22" s="27">
        <v>0</v>
      </c>
      <c r="H22" s="34">
        <v>2</v>
      </c>
      <c r="I22" s="4">
        <v>0</v>
      </c>
      <c r="J22" s="19">
        <v>2</v>
      </c>
    </row>
    <row r="23" spans="1:10" ht="15.75" thickBot="1" x14ac:dyDescent="0.3">
      <c r="A23" s="20"/>
      <c r="B23" s="7"/>
      <c r="C23" s="8"/>
      <c r="D23" s="8"/>
      <c r="E23" s="8"/>
      <c r="F23" s="8"/>
      <c r="G23" s="28"/>
      <c r="H23" s="35"/>
      <c r="I23" s="7"/>
      <c r="J23" s="21"/>
    </row>
    <row r="24" spans="1:10" ht="24.95" customHeight="1" thickBot="1" x14ac:dyDescent="0.3">
      <c r="A24" s="22" t="s">
        <v>16</v>
      </c>
      <c r="B24" s="37">
        <f>SUM(B7:B23)</f>
        <v>45592</v>
      </c>
      <c r="C24" s="37">
        <f t="shared" ref="C24:J24" si="0">SUM(C7:C23)</f>
        <v>35494</v>
      </c>
      <c r="D24" s="37">
        <f t="shared" si="0"/>
        <v>14708</v>
      </c>
      <c r="E24" s="37">
        <f t="shared" si="0"/>
        <v>4252</v>
      </c>
      <c r="F24" s="37">
        <f t="shared" si="0"/>
        <v>15077</v>
      </c>
      <c r="G24" s="38">
        <f t="shared" si="0"/>
        <v>13865</v>
      </c>
      <c r="H24" s="31">
        <f t="shared" si="0"/>
        <v>128988</v>
      </c>
      <c r="I24" s="37">
        <f t="shared" si="0"/>
        <v>1190</v>
      </c>
      <c r="J24" s="37">
        <f t="shared" si="0"/>
        <v>130178</v>
      </c>
    </row>
    <row r="25" spans="1:10" x14ac:dyDescent="0.25">
      <c r="A25" s="18" t="s">
        <v>17</v>
      </c>
      <c r="B25" s="5">
        <v>2042</v>
      </c>
      <c r="C25" s="6">
        <v>1531</v>
      </c>
      <c r="D25" s="6">
        <v>356</v>
      </c>
      <c r="E25" s="6">
        <v>171</v>
      </c>
      <c r="F25" s="6">
        <v>1911</v>
      </c>
      <c r="G25" s="26">
        <v>970</v>
      </c>
      <c r="H25" s="34">
        <v>6981</v>
      </c>
      <c r="I25" s="5">
        <v>69</v>
      </c>
      <c r="J25" s="23">
        <v>7050</v>
      </c>
    </row>
    <row r="26" spans="1:10" x14ac:dyDescent="0.25">
      <c r="A26" s="18" t="s">
        <v>18</v>
      </c>
      <c r="B26" s="4">
        <v>7534</v>
      </c>
      <c r="C26" s="2">
        <v>5282</v>
      </c>
      <c r="D26" s="2">
        <v>938</v>
      </c>
      <c r="E26" s="2">
        <v>534</v>
      </c>
      <c r="F26" s="2">
        <v>4530</v>
      </c>
      <c r="G26" s="27">
        <v>3049</v>
      </c>
      <c r="H26" s="34">
        <v>21867</v>
      </c>
      <c r="I26" s="4">
        <v>122</v>
      </c>
      <c r="J26" s="23">
        <v>21989</v>
      </c>
    </row>
    <row r="27" spans="1:10" x14ac:dyDescent="0.25">
      <c r="A27" s="18" t="s">
        <v>19</v>
      </c>
      <c r="B27" s="4">
        <v>21986</v>
      </c>
      <c r="C27" s="2">
        <v>15555</v>
      </c>
      <c r="D27" s="2">
        <v>3738</v>
      </c>
      <c r="E27" s="2">
        <v>1085</v>
      </c>
      <c r="F27" s="2">
        <v>14998</v>
      </c>
      <c r="G27" s="27">
        <v>8522</v>
      </c>
      <c r="H27" s="34">
        <v>65884</v>
      </c>
      <c r="I27" s="4">
        <v>681</v>
      </c>
      <c r="J27" s="23">
        <v>66565</v>
      </c>
    </row>
    <row r="28" spans="1:10" x14ac:dyDescent="0.25">
      <c r="A28" s="18" t="s">
        <v>20</v>
      </c>
      <c r="B28" s="4">
        <v>40257</v>
      </c>
      <c r="C28" s="2">
        <v>19785</v>
      </c>
      <c r="D28" s="2">
        <v>10731</v>
      </c>
      <c r="E28" s="2">
        <v>2135</v>
      </c>
      <c r="F28" s="2">
        <v>18736</v>
      </c>
      <c r="G28" s="27">
        <v>12296</v>
      </c>
      <c r="H28" s="34">
        <v>103940</v>
      </c>
      <c r="I28" s="4">
        <v>1333</v>
      </c>
      <c r="J28" s="23">
        <v>105273</v>
      </c>
    </row>
    <row r="29" spans="1:10" x14ac:dyDescent="0.25">
      <c r="A29" s="18" t="s">
        <v>21</v>
      </c>
      <c r="B29" s="4">
        <v>64478</v>
      </c>
      <c r="C29" s="2">
        <v>27673</v>
      </c>
      <c r="D29" s="2">
        <v>13665</v>
      </c>
      <c r="E29" s="2">
        <v>4541</v>
      </c>
      <c r="F29" s="2">
        <v>18816</v>
      </c>
      <c r="G29" s="27">
        <v>9717</v>
      </c>
      <c r="H29" s="34">
        <v>138890</v>
      </c>
      <c r="I29" s="4">
        <v>1746</v>
      </c>
      <c r="J29" s="23">
        <v>140636</v>
      </c>
    </row>
    <row r="30" spans="1:10" x14ac:dyDescent="0.25">
      <c r="A30" s="18" t="s">
        <v>22</v>
      </c>
      <c r="B30" s="4">
        <v>91049</v>
      </c>
      <c r="C30" s="2">
        <v>58595</v>
      </c>
      <c r="D30" s="2">
        <v>8056</v>
      </c>
      <c r="E30" s="2">
        <v>6224</v>
      </c>
      <c r="F30" s="2">
        <v>16330</v>
      </c>
      <c r="G30" s="27">
        <v>16059</v>
      </c>
      <c r="H30" s="34">
        <v>196313</v>
      </c>
      <c r="I30" s="4">
        <v>2134</v>
      </c>
      <c r="J30" s="23">
        <v>198447</v>
      </c>
    </row>
    <row r="31" spans="1:10" x14ac:dyDescent="0.25">
      <c r="A31" s="18" t="s">
        <v>23</v>
      </c>
      <c r="B31" s="4">
        <v>39036</v>
      </c>
      <c r="C31" s="2">
        <v>16819</v>
      </c>
      <c r="D31" s="2">
        <v>4962</v>
      </c>
      <c r="E31" s="2">
        <v>15263</v>
      </c>
      <c r="F31" s="2">
        <v>14385</v>
      </c>
      <c r="G31" s="27">
        <v>3533</v>
      </c>
      <c r="H31" s="34">
        <v>93998</v>
      </c>
      <c r="I31" s="4">
        <v>226</v>
      </c>
      <c r="J31" s="23">
        <v>94224</v>
      </c>
    </row>
    <row r="32" spans="1:10" x14ac:dyDescent="0.25">
      <c r="A32" s="18" t="s">
        <v>24</v>
      </c>
      <c r="B32" s="4">
        <v>22279</v>
      </c>
      <c r="C32" s="2">
        <v>7109</v>
      </c>
      <c r="D32" s="2">
        <v>1330</v>
      </c>
      <c r="E32" s="2">
        <v>3361</v>
      </c>
      <c r="F32" s="2">
        <v>395</v>
      </c>
      <c r="G32" s="27">
        <v>1002</v>
      </c>
      <c r="H32" s="34">
        <v>35476</v>
      </c>
      <c r="I32" s="4">
        <v>1</v>
      </c>
      <c r="J32" s="23">
        <v>35477</v>
      </c>
    </row>
    <row r="33" spans="1:10" x14ac:dyDescent="0.25">
      <c r="A33" s="18" t="s">
        <v>25</v>
      </c>
      <c r="B33" s="2">
        <v>17546</v>
      </c>
      <c r="C33" s="2">
        <v>8357</v>
      </c>
      <c r="D33" s="2">
        <v>800</v>
      </c>
      <c r="E33" s="2">
        <v>1691</v>
      </c>
      <c r="F33" s="2">
        <v>581</v>
      </c>
      <c r="G33" s="27">
        <v>867</v>
      </c>
      <c r="H33" s="34">
        <v>29842</v>
      </c>
      <c r="I33" s="4">
        <v>0</v>
      </c>
      <c r="J33" s="23">
        <v>29842</v>
      </c>
    </row>
    <row r="34" spans="1:10" s="3" customFormat="1" x14ac:dyDescent="0.25">
      <c r="A34" s="18" t="s">
        <v>60</v>
      </c>
      <c r="B34" s="2">
        <v>0</v>
      </c>
      <c r="C34" s="2">
        <v>0</v>
      </c>
      <c r="D34" s="2">
        <v>0</v>
      </c>
      <c r="E34" s="2">
        <v>0</v>
      </c>
      <c r="F34" s="2">
        <v>1</v>
      </c>
      <c r="G34" s="27">
        <v>0</v>
      </c>
      <c r="H34" s="44">
        <v>1</v>
      </c>
      <c r="I34" s="4">
        <v>0</v>
      </c>
      <c r="J34" s="46">
        <v>1</v>
      </c>
    </row>
    <row r="35" spans="1:10" s="3" customFormat="1" ht="15.75" customHeight="1" thickBot="1" x14ac:dyDescent="0.3">
      <c r="A35" s="18"/>
      <c r="B35" s="9"/>
      <c r="C35" s="10"/>
      <c r="D35" s="10"/>
      <c r="E35" s="10"/>
      <c r="F35" s="10"/>
      <c r="G35" s="29"/>
      <c r="H35" s="36"/>
      <c r="I35" s="9"/>
      <c r="J35" s="24" t="s">
        <v>29</v>
      </c>
    </row>
    <row r="36" spans="1:10" ht="15.75" thickBot="1" x14ac:dyDescent="0.3">
      <c r="A36" s="22" t="s">
        <v>26</v>
      </c>
      <c r="B36" s="37">
        <f>SUM(B25:B34)</f>
        <v>306207</v>
      </c>
      <c r="C36" s="37">
        <f t="shared" ref="C36:G36" si="1">SUM(C25:C34)</f>
        <v>160706</v>
      </c>
      <c r="D36" s="37">
        <f t="shared" si="1"/>
        <v>44576</v>
      </c>
      <c r="E36" s="37">
        <f t="shared" si="1"/>
        <v>35005</v>
      </c>
      <c r="F36" s="37">
        <f t="shared" si="1"/>
        <v>90683</v>
      </c>
      <c r="G36" s="37">
        <f t="shared" si="1"/>
        <v>56015</v>
      </c>
      <c r="H36" s="31">
        <f>SUM(H25:H34)</f>
        <v>693192</v>
      </c>
      <c r="I36" s="37">
        <f>SUM(I25:I34)</f>
        <v>6312</v>
      </c>
      <c r="J36" s="39">
        <f>SUM(J25:J34)</f>
        <v>699504</v>
      </c>
    </row>
    <row r="37" spans="1:10" ht="16.5" thickTop="1" thickBot="1" x14ac:dyDescent="0.3">
      <c r="A37" s="11" t="s">
        <v>27</v>
      </c>
      <c r="B37" s="40">
        <f t="shared" ref="B37:J37" si="2">SUM(B24,B36)</f>
        <v>351799</v>
      </c>
      <c r="C37" s="40">
        <f t="shared" si="2"/>
        <v>196200</v>
      </c>
      <c r="D37" s="40">
        <f t="shared" si="2"/>
        <v>59284</v>
      </c>
      <c r="E37" s="40">
        <f t="shared" si="2"/>
        <v>39257</v>
      </c>
      <c r="F37" s="40">
        <f t="shared" si="2"/>
        <v>105760</v>
      </c>
      <c r="G37" s="41">
        <f t="shared" si="2"/>
        <v>69880</v>
      </c>
      <c r="H37" s="32">
        <f t="shared" si="2"/>
        <v>822180</v>
      </c>
      <c r="I37" s="40">
        <f t="shared" si="2"/>
        <v>7502</v>
      </c>
      <c r="J37" s="42">
        <f t="shared" si="2"/>
        <v>829682</v>
      </c>
    </row>
    <row r="38" spans="1:10" ht="15.75" thickTop="1" x14ac:dyDescent="0.25">
      <c r="B38" s="12"/>
    </row>
    <row r="40" spans="1:10" x14ac:dyDescent="0.25">
      <c r="I40" s="3"/>
      <c r="J40" s="3"/>
    </row>
    <row r="41" spans="1:10" x14ac:dyDescent="0.25">
      <c r="I41" s="3"/>
      <c r="J41" s="3"/>
    </row>
  </sheetData>
  <mergeCells count="5">
    <mergeCell ref="A1:J1"/>
    <mergeCell ref="A2:J2"/>
    <mergeCell ref="A3:J3"/>
    <mergeCell ref="A4:J4"/>
    <mergeCell ref="A5:J5"/>
  </mergeCells>
  <printOptions horizontalCentered="1"/>
  <pageMargins left="0.7" right="0.7" top="0.75" bottom="0.75" header="0.3" footer="0.3"/>
  <pageSetup scale="6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1"/>
  <sheetViews>
    <sheetView topLeftCell="A10" workbookViewId="0">
      <selection activeCell="A3" sqref="A3:J3"/>
    </sheetView>
  </sheetViews>
  <sheetFormatPr defaultRowHeight="15" x14ac:dyDescent="0.25"/>
  <cols>
    <col min="1" max="1" width="40.85546875" style="1" bestFit="1" customWidth="1"/>
    <col min="2" max="10" width="15.7109375" customWidth="1"/>
  </cols>
  <sheetData>
    <row r="1" spans="1:10" ht="19.5" thickTop="1" x14ac:dyDescent="0.3">
      <c r="A1" s="48" t="s">
        <v>28</v>
      </c>
      <c r="B1" s="49"/>
      <c r="C1" s="49"/>
      <c r="D1" s="49"/>
      <c r="E1" s="49"/>
      <c r="F1" s="49"/>
      <c r="G1" s="49"/>
      <c r="H1" s="49"/>
      <c r="I1" s="49"/>
      <c r="J1" s="50"/>
    </row>
    <row r="2" spans="1:10" ht="18.75" x14ac:dyDescent="0.3">
      <c r="A2" s="51" t="s">
        <v>30</v>
      </c>
      <c r="B2" s="52"/>
      <c r="C2" s="52"/>
      <c r="D2" s="52"/>
      <c r="E2" s="52"/>
      <c r="F2" s="52"/>
      <c r="G2" s="52"/>
      <c r="H2" s="52"/>
      <c r="I2" s="52"/>
      <c r="J2" s="53"/>
    </row>
    <row r="3" spans="1:10" ht="18.75" x14ac:dyDescent="0.3">
      <c r="A3" s="54" t="s">
        <v>48</v>
      </c>
      <c r="B3" s="55"/>
      <c r="C3" s="55"/>
      <c r="D3" s="55"/>
      <c r="E3" s="55"/>
      <c r="F3" s="55"/>
      <c r="G3" s="55"/>
      <c r="H3" s="55"/>
      <c r="I3" s="55"/>
      <c r="J3" s="56"/>
    </row>
    <row r="4" spans="1:10" ht="19.5" thickBot="1" x14ac:dyDescent="0.35">
      <c r="A4" s="57"/>
      <c r="B4" s="58"/>
      <c r="C4" s="58"/>
      <c r="D4" s="58"/>
      <c r="E4" s="58"/>
      <c r="F4" s="58"/>
      <c r="G4" s="58"/>
      <c r="H4" s="58"/>
      <c r="I4" s="58"/>
      <c r="J4" s="59"/>
    </row>
    <row r="5" spans="1:10" ht="15.75" thickBot="1" x14ac:dyDescent="0.3">
      <c r="A5" s="60"/>
      <c r="B5" s="61"/>
      <c r="C5" s="61"/>
      <c r="D5" s="61"/>
      <c r="E5" s="61"/>
      <c r="F5" s="61"/>
      <c r="G5" s="61"/>
      <c r="H5" s="61"/>
      <c r="I5" s="61"/>
      <c r="J5" s="62"/>
    </row>
    <row r="6" spans="1:10" s="13" customFormat="1" ht="30.75" thickBot="1" x14ac:dyDescent="0.3">
      <c r="A6" s="16" t="s">
        <v>0</v>
      </c>
      <c r="B6" s="14" t="s">
        <v>31</v>
      </c>
      <c r="C6" s="15" t="s">
        <v>32</v>
      </c>
      <c r="D6" s="15" t="s">
        <v>33</v>
      </c>
      <c r="E6" s="15" t="s">
        <v>34</v>
      </c>
      <c r="F6" s="15" t="s">
        <v>35</v>
      </c>
      <c r="G6" s="25" t="s">
        <v>36</v>
      </c>
      <c r="H6" s="33" t="s">
        <v>37</v>
      </c>
      <c r="I6" s="30" t="s">
        <v>38</v>
      </c>
      <c r="J6" s="17" t="s">
        <v>39</v>
      </c>
    </row>
    <row r="7" spans="1:10" ht="15.75" thickTop="1" x14ac:dyDescent="0.25">
      <c r="A7" s="18" t="s">
        <v>1</v>
      </c>
      <c r="B7" s="5">
        <v>1</v>
      </c>
      <c r="C7" s="6">
        <v>0</v>
      </c>
      <c r="D7" s="6">
        <v>0</v>
      </c>
      <c r="E7" s="6">
        <v>0</v>
      </c>
      <c r="F7" s="6">
        <v>0</v>
      </c>
      <c r="G7" s="26">
        <v>0</v>
      </c>
      <c r="H7" s="34">
        <v>1</v>
      </c>
      <c r="I7" s="5">
        <v>0</v>
      </c>
      <c r="J7" s="19">
        <v>1</v>
      </c>
    </row>
    <row r="8" spans="1:10" x14ac:dyDescent="0.25">
      <c r="A8" s="18" t="s">
        <v>2</v>
      </c>
      <c r="B8" s="4">
        <v>0</v>
      </c>
      <c r="C8" s="2">
        <v>0</v>
      </c>
      <c r="D8" s="2">
        <v>0</v>
      </c>
      <c r="E8" s="2">
        <v>0</v>
      </c>
      <c r="F8" s="2">
        <v>4</v>
      </c>
      <c r="G8" s="27">
        <v>0</v>
      </c>
      <c r="H8" s="34">
        <v>4</v>
      </c>
      <c r="I8" s="4">
        <v>0</v>
      </c>
      <c r="J8" s="19">
        <v>4</v>
      </c>
    </row>
    <row r="9" spans="1:10" x14ac:dyDescent="0.25">
      <c r="A9" s="18" t="s">
        <v>3</v>
      </c>
      <c r="B9" s="4">
        <v>65</v>
      </c>
      <c r="C9" s="2">
        <v>33</v>
      </c>
      <c r="D9" s="2">
        <v>17</v>
      </c>
      <c r="E9" s="2">
        <v>5</v>
      </c>
      <c r="F9" s="2">
        <v>41</v>
      </c>
      <c r="G9" s="27">
        <v>22</v>
      </c>
      <c r="H9" s="34">
        <v>183</v>
      </c>
      <c r="I9" s="4">
        <v>1</v>
      </c>
      <c r="J9" s="19">
        <v>184</v>
      </c>
    </row>
    <row r="10" spans="1:10" x14ac:dyDescent="0.25">
      <c r="A10" s="18" t="s">
        <v>4</v>
      </c>
      <c r="B10" s="4">
        <v>144</v>
      </c>
      <c r="C10" s="2">
        <v>75</v>
      </c>
      <c r="D10" s="2">
        <v>32</v>
      </c>
      <c r="E10" s="2">
        <v>7</v>
      </c>
      <c r="F10" s="2">
        <v>113</v>
      </c>
      <c r="G10" s="27">
        <v>56</v>
      </c>
      <c r="H10" s="34">
        <v>427</v>
      </c>
      <c r="I10" s="4">
        <v>1</v>
      </c>
      <c r="J10" s="19">
        <v>428</v>
      </c>
    </row>
    <row r="11" spans="1:10" x14ac:dyDescent="0.25">
      <c r="A11" s="18" t="s">
        <v>5</v>
      </c>
      <c r="B11" s="4">
        <v>1475</v>
      </c>
      <c r="C11" s="2">
        <v>1836</v>
      </c>
      <c r="D11" s="2">
        <v>1315</v>
      </c>
      <c r="E11" s="2">
        <v>310</v>
      </c>
      <c r="F11" s="2">
        <v>993</v>
      </c>
      <c r="G11" s="27">
        <v>1094</v>
      </c>
      <c r="H11" s="34">
        <v>7023</v>
      </c>
      <c r="I11" s="4">
        <v>39</v>
      </c>
      <c r="J11" s="19">
        <v>7062</v>
      </c>
    </row>
    <row r="12" spans="1:10" x14ac:dyDescent="0.25">
      <c r="A12" s="18" t="s">
        <v>6</v>
      </c>
      <c r="B12" s="4">
        <v>3693</v>
      </c>
      <c r="C12" s="2">
        <v>5522</v>
      </c>
      <c r="D12" s="2">
        <v>3269</v>
      </c>
      <c r="E12" s="2">
        <v>834</v>
      </c>
      <c r="F12" s="2">
        <v>4019</v>
      </c>
      <c r="G12" s="27">
        <v>4121</v>
      </c>
      <c r="H12" s="34">
        <v>21458</v>
      </c>
      <c r="I12" s="4">
        <v>155</v>
      </c>
      <c r="J12" s="19">
        <v>21613</v>
      </c>
    </row>
    <row r="13" spans="1:10" x14ac:dyDescent="0.25">
      <c r="A13" s="18" t="s">
        <v>7</v>
      </c>
      <c r="B13" s="4">
        <v>6697</v>
      </c>
      <c r="C13" s="2">
        <v>6904</v>
      </c>
      <c r="D13" s="2">
        <v>4611</v>
      </c>
      <c r="E13" s="2">
        <v>1097</v>
      </c>
      <c r="F13" s="2">
        <v>4201</v>
      </c>
      <c r="G13" s="27">
        <v>4817</v>
      </c>
      <c r="H13" s="34">
        <v>28327</v>
      </c>
      <c r="I13" s="4">
        <v>299</v>
      </c>
      <c r="J13" s="19">
        <v>28626</v>
      </c>
    </row>
    <row r="14" spans="1:10" x14ac:dyDescent="0.25">
      <c r="A14" s="18" t="s">
        <v>8</v>
      </c>
      <c r="B14" s="4">
        <v>10593</v>
      </c>
      <c r="C14" s="2">
        <v>10514</v>
      </c>
      <c r="D14" s="2">
        <v>3919</v>
      </c>
      <c r="E14" s="2">
        <v>1203</v>
      </c>
      <c r="F14" s="2">
        <v>3354</v>
      </c>
      <c r="G14" s="27">
        <v>2857</v>
      </c>
      <c r="H14" s="34">
        <v>32440</v>
      </c>
      <c r="I14" s="4">
        <v>428</v>
      </c>
      <c r="J14" s="19">
        <v>32868</v>
      </c>
    </row>
    <row r="15" spans="1:10" x14ac:dyDescent="0.25">
      <c r="A15" s="18" t="s">
        <v>9</v>
      </c>
      <c r="B15" s="4">
        <v>8779</v>
      </c>
      <c r="C15" s="2">
        <v>4865</v>
      </c>
      <c r="D15" s="2">
        <v>897</v>
      </c>
      <c r="E15" s="2">
        <v>239</v>
      </c>
      <c r="F15" s="2">
        <v>1177</v>
      </c>
      <c r="G15" s="27">
        <v>507</v>
      </c>
      <c r="H15" s="34">
        <v>16464</v>
      </c>
      <c r="I15" s="4">
        <v>81</v>
      </c>
      <c r="J15" s="19">
        <v>16545</v>
      </c>
    </row>
    <row r="16" spans="1:10" x14ac:dyDescent="0.25">
      <c r="A16" s="18" t="s">
        <v>10</v>
      </c>
      <c r="B16" s="4">
        <v>5440</v>
      </c>
      <c r="C16" s="2">
        <v>2449</v>
      </c>
      <c r="D16" s="2">
        <v>591</v>
      </c>
      <c r="E16" s="2">
        <v>324</v>
      </c>
      <c r="F16" s="2">
        <v>1174</v>
      </c>
      <c r="G16" s="27">
        <v>392</v>
      </c>
      <c r="H16" s="34">
        <v>10370</v>
      </c>
      <c r="I16" s="4">
        <v>58</v>
      </c>
      <c r="J16" s="19">
        <v>10428</v>
      </c>
    </row>
    <row r="17" spans="1:10" x14ac:dyDescent="0.25">
      <c r="A17" s="18" t="s">
        <v>11</v>
      </c>
      <c r="B17" s="4">
        <v>381</v>
      </c>
      <c r="C17" s="2">
        <v>99</v>
      </c>
      <c r="D17" s="2">
        <v>2</v>
      </c>
      <c r="E17" s="2">
        <v>11</v>
      </c>
      <c r="F17" s="2">
        <v>0</v>
      </c>
      <c r="G17" s="27">
        <v>0</v>
      </c>
      <c r="H17" s="34">
        <v>493</v>
      </c>
      <c r="I17" s="4">
        <v>0</v>
      </c>
      <c r="J17" s="19">
        <v>493</v>
      </c>
    </row>
    <row r="18" spans="1:10" x14ac:dyDescent="0.25">
      <c r="A18" s="18" t="s">
        <v>12</v>
      </c>
      <c r="B18" s="4">
        <v>1491</v>
      </c>
      <c r="C18" s="2">
        <v>567</v>
      </c>
      <c r="D18" s="2">
        <v>14</v>
      </c>
      <c r="E18" s="2">
        <v>52</v>
      </c>
      <c r="F18" s="2">
        <v>0</v>
      </c>
      <c r="G18" s="27">
        <v>0</v>
      </c>
      <c r="H18" s="34">
        <v>2124</v>
      </c>
      <c r="I18" s="4">
        <v>20</v>
      </c>
      <c r="J18" s="19">
        <v>2144</v>
      </c>
    </row>
    <row r="19" spans="1:10" x14ac:dyDescent="0.25">
      <c r="A19" s="18" t="s">
        <v>13</v>
      </c>
      <c r="B19" s="4">
        <v>2031</v>
      </c>
      <c r="C19" s="2">
        <v>761</v>
      </c>
      <c r="D19" s="2">
        <v>36</v>
      </c>
      <c r="E19" s="2">
        <v>80</v>
      </c>
      <c r="F19" s="2">
        <v>0</v>
      </c>
      <c r="G19" s="27">
        <v>0</v>
      </c>
      <c r="H19" s="34">
        <v>2908</v>
      </c>
      <c r="I19" s="4">
        <v>55</v>
      </c>
      <c r="J19" s="19">
        <v>2963</v>
      </c>
    </row>
    <row r="20" spans="1:10" x14ac:dyDescent="0.25">
      <c r="A20" s="18" t="s">
        <v>14</v>
      </c>
      <c r="B20" s="4">
        <v>3560</v>
      </c>
      <c r="C20" s="2">
        <v>1459</v>
      </c>
      <c r="D20" s="2">
        <v>37</v>
      </c>
      <c r="E20" s="2">
        <v>109</v>
      </c>
      <c r="F20" s="2">
        <v>0</v>
      </c>
      <c r="G20" s="27">
        <v>0</v>
      </c>
      <c r="H20" s="34">
        <v>5165</v>
      </c>
      <c r="I20" s="4">
        <v>50</v>
      </c>
      <c r="J20" s="19">
        <v>5215</v>
      </c>
    </row>
    <row r="21" spans="1:10" x14ac:dyDescent="0.25">
      <c r="A21" s="18" t="s">
        <v>15</v>
      </c>
      <c r="B21" s="4">
        <v>1128</v>
      </c>
      <c r="C21" s="2">
        <v>387</v>
      </c>
      <c r="D21" s="2">
        <v>0</v>
      </c>
      <c r="E21" s="2">
        <v>13</v>
      </c>
      <c r="F21" s="2">
        <v>0</v>
      </c>
      <c r="G21" s="27">
        <v>0</v>
      </c>
      <c r="H21" s="34">
        <v>1528</v>
      </c>
      <c r="I21" s="4">
        <v>0</v>
      </c>
      <c r="J21" s="19">
        <v>1528</v>
      </c>
    </row>
    <row r="22" spans="1:10" x14ac:dyDescent="0.25">
      <c r="A22" s="18" t="s">
        <v>59</v>
      </c>
      <c r="B22" s="7">
        <v>0</v>
      </c>
      <c r="C22" s="8">
        <v>0</v>
      </c>
      <c r="D22" s="8">
        <v>0</v>
      </c>
      <c r="E22" s="8">
        <v>0</v>
      </c>
      <c r="F22" s="8">
        <v>2</v>
      </c>
      <c r="G22" s="28">
        <v>0</v>
      </c>
      <c r="H22" s="36">
        <v>2</v>
      </c>
      <c r="I22" s="7">
        <v>0</v>
      </c>
      <c r="J22" s="43">
        <v>2</v>
      </c>
    </row>
    <row r="23" spans="1:10" ht="15.75" thickBot="1" x14ac:dyDescent="0.3">
      <c r="A23" s="20"/>
      <c r="B23" s="7"/>
      <c r="C23" s="8"/>
      <c r="D23" s="8"/>
      <c r="E23" s="8"/>
      <c r="F23" s="8"/>
      <c r="G23" s="28"/>
      <c r="H23" s="35"/>
      <c r="I23" s="7"/>
      <c r="J23" s="21"/>
    </row>
    <row r="24" spans="1:10" ht="24.95" customHeight="1" thickBot="1" x14ac:dyDescent="0.3">
      <c r="A24" s="22" t="s">
        <v>16</v>
      </c>
      <c r="B24" s="37">
        <f>SUM(B7:B22)</f>
        <v>45478</v>
      </c>
      <c r="C24" s="37">
        <f t="shared" ref="C24:J24" si="0">SUM(C7:C22)</f>
        <v>35471</v>
      </c>
      <c r="D24" s="37">
        <f t="shared" si="0"/>
        <v>14740</v>
      </c>
      <c r="E24" s="37">
        <f t="shared" si="0"/>
        <v>4284</v>
      </c>
      <c r="F24" s="37">
        <f t="shared" si="0"/>
        <v>15078</v>
      </c>
      <c r="G24" s="38">
        <f t="shared" si="0"/>
        <v>13866</v>
      </c>
      <c r="H24" s="31">
        <f t="shared" si="0"/>
        <v>128917</v>
      </c>
      <c r="I24" s="37">
        <f t="shared" si="0"/>
        <v>1187</v>
      </c>
      <c r="J24" s="39">
        <f t="shared" si="0"/>
        <v>130104</v>
      </c>
    </row>
    <row r="25" spans="1:10" x14ac:dyDescent="0.25">
      <c r="A25" s="18" t="s">
        <v>17</v>
      </c>
      <c r="B25" s="5">
        <v>2050</v>
      </c>
      <c r="C25" s="6">
        <v>1559</v>
      </c>
      <c r="D25" s="6">
        <v>359</v>
      </c>
      <c r="E25" s="6">
        <v>173</v>
      </c>
      <c r="F25" s="6">
        <v>1907</v>
      </c>
      <c r="G25" s="26">
        <v>971</v>
      </c>
      <c r="H25" s="34">
        <v>7019</v>
      </c>
      <c r="I25" s="5">
        <v>69</v>
      </c>
      <c r="J25" s="23">
        <v>7088</v>
      </c>
    </row>
    <row r="26" spans="1:10" x14ac:dyDescent="0.25">
      <c r="A26" s="18" t="s">
        <v>18</v>
      </c>
      <c r="B26" s="4">
        <v>7497</v>
      </c>
      <c r="C26" s="2">
        <v>5369</v>
      </c>
      <c r="D26" s="2">
        <v>932</v>
      </c>
      <c r="E26" s="2">
        <v>533</v>
      </c>
      <c r="F26" s="2">
        <v>4517</v>
      </c>
      <c r="G26" s="27">
        <v>3046</v>
      </c>
      <c r="H26" s="34">
        <v>21894</v>
      </c>
      <c r="I26" s="4">
        <v>118</v>
      </c>
      <c r="J26" s="23">
        <v>22012</v>
      </c>
    </row>
    <row r="27" spans="1:10" x14ac:dyDescent="0.25">
      <c r="A27" s="18" t="s">
        <v>19</v>
      </c>
      <c r="B27" s="4">
        <v>21929</v>
      </c>
      <c r="C27" s="2">
        <v>15303</v>
      </c>
      <c r="D27" s="2">
        <v>3717</v>
      </c>
      <c r="E27" s="2">
        <v>1064</v>
      </c>
      <c r="F27" s="2">
        <v>14989</v>
      </c>
      <c r="G27" s="27">
        <v>8533</v>
      </c>
      <c r="H27" s="34">
        <v>65535</v>
      </c>
      <c r="I27" s="4">
        <v>682</v>
      </c>
      <c r="J27" s="23">
        <v>66217</v>
      </c>
    </row>
    <row r="28" spans="1:10" x14ac:dyDescent="0.25">
      <c r="A28" s="18" t="s">
        <v>20</v>
      </c>
      <c r="B28" s="4">
        <v>40169</v>
      </c>
      <c r="C28" s="2">
        <v>20124</v>
      </c>
      <c r="D28" s="2">
        <v>10686</v>
      </c>
      <c r="E28" s="2">
        <v>2179</v>
      </c>
      <c r="F28" s="2">
        <v>18702</v>
      </c>
      <c r="G28" s="27">
        <v>12280</v>
      </c>
      <c r="H28" s="34">
        <v>104140</v>
      </c>
      <c r="I28" s="4">
        <v>1331</v>
      </c>
      <c r="J28" s="23">
        <v>105471</v>
      </c>
    </row>
    <row r="29" spans="1:10" x14ac:dyDescent="0.25">
      <c r="A29" s="18" t="s">
        <v>21</v>
      </c>
      <c r="B29" s="4">
        <v>64328</v>
      </c>
      <c r="C29" s="2">
        <v>27810</v>
      </c>
      <c r="D29" s="2">
        <v>13653</v>
      </c>
      <c r="E29" s="2">
        <v>4367</v>
      </c>
      <c r="F29" s="2">
        <v>18643</v>
      </c>
      <c r="G29" s="27">
        <v>9689</v>
      </c>
      <c r="H29" s="34">
        <v>138490</v>
      </c>
      <c r="I29" s="4">
        <v>1736</v>
      </c>
      <c r="J29" s="23">
        <v>140226</v>
      </c>
    </row>
    <row r="30" spans="1:10" x14ac:dyDescent="0.25">
      <c r="A30" s="18" t="s">
        <v>22</v>
      </c>
      <c r="B30" s="4">
        <v>90609</v>
      </c>
      <c r="C30" s="2">
        <v>58303</v>
      </c>
      <c r="D30" s="2">
        <v>8012</v>
      </c>
      <c r="E30" s="2">
        <v>6120</v>
      </c>
      <c r="F30" s="2">
        <v>16199</v>
      </c>
      <c r="G30" s="27">
        <v>16019</v>
      </c>
      <c r="H30" s="34">
        <v>195262</v>
      </c>
      <c r="I30" s="4">
        <v>2115</v>
      </c>
      <c r="J30" s="23">
        <v>197377</v>
      </c>
    </row>
    <row r="31" spans="1:10" x14ac:dyDescent="0.25">
      <c r="A31" s="18" t="s">
        <v>23</v>
      </c>
      <c r="B31" s="4">
        <v>39166</v>
      </c>
      <c r="C31" s="2">
        <v>16855</v>
      </c>
      <c r="D31" s="2">
        <v>4932</v>
      </c>
      <c r="E31" s="2">
        <v>15248</v>
      </c>
      <c r="F31" s="2">
        <v>14255</v>
      </c>
      <c r="G31" s="27">
        <v>3497</v>
      </c>
      <c r="H31" s="34">
        <v>93953</v>
      </c>
      <c r="I31" s="4">
        <v>218</v>
      </c>
      <c r="J31" s="23">
        <v>94171</v>
      </c>
    </row>
    <row r="32" spans="1:10" x14ac:dyDescent="0.25">
      <c r="A32" s="18" t="s">
        <v>24</v>
      </c>
      <c r="B32" s="4">
        <v>21939</v>
      </c>
      <c r="C32" s="2">
        <v>7120</v>
      </c>
      <c r="D32" s="2">
        <v>1314</v>
      </c>
      <c r="E32" s="2">
        <v>3493</v>
      </c>
      <c r="F32" s="2">
        <v>387</v>
      </c>
      <c r="G32" s="27">
        <v>953</v>
      </c>
      <c r="H32" s="34">
        <v>35206</v>
      </c>
      <c r="I32" s="4">
        <v>11</v>
      </c>
      <c r="J32" s="23">
        <v>35217</v>
      </c>
    </row>
    <row r="33" spans="1:10" x14ac:dyDescent="0.25">
      <c r="A33" s="18" t="s">
        <v>25</v>
      </c>
      <c r="B33" s="2">
        <v>17704</v>
      </c>
      <c r="C33" s="2">
        <v>8273</v>
      </c>
      <c r="D33" s="2">
        <v>818</v>
      </c>
      <c r="E33" s="2">
        <v>1716</v>
      </c>
      <c r="F33" s="2">
        <v>613</v>
      </c>
      <c r="G33" s="27">
        <v>863</v>
      </c>
      <c r="H33" s="34">
        <v>29987</v>
      </c>
      <c r="I33" s="4">
        <v>0</v>
      </c>
      <c r="J33" s="23">
        <v>29987</v>
      </c>
    </row>
    <row r="34" spans="1:10" s="3" customFormat="1" x14ac:dyDescent="0.25">
      <c r="A34" s="18" t="s">
        <v>60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7">
        <v>0</v>
      </c>
      <c r="H34" s="44">
        <v>0</v>
      </c>
      <c r="I34" s="4">
        <v>0</v>
      </c>
      <c r="J34" s="46">
        <v>0</v>
      </c>
    </row>
    <row r="35" spans="1:10" s="3" customFormat="1" ht="15.75" customHeight="1" thickBot="1" x14ac:dyDescent="0.3">
      <c r="A35" s="18"/>
      <c r="B35" s="9"/>
      <c r="C35" s="10"/>
      <c r="D35" s="10"/>
      <c r="E35" s="10"/>
      <c r="F35" s="10"/>
      <c r="G35" s="29"/>
      <c r="H35" s="36"/>
      <c r="I35" s="9"/>
      <c r="J35" s="24" t="s">
        <v>29</v>
      </c>
    </row>
    <row r="36" spans="1:10" ht="15.75" thickBot="1" x14ac:dyDescent="0.3">
      <c r="A36" s="22" t="s">
        <v>26</v>
      </c>
      <c r="B36" s="37">
        <f>SUM(B25:B34)</f>
        <v>305391</v>
      </c>
      <c r="C36" s="37">
        <f t="shared" ref="C36:G36" si="1">SUM(C25:C34)</f>
        <v>160716</v>
      </c>
      <c r="D36" s="37">
        <f t="shared" si="1"/>
        <v>44423</v>
      </c>
      <c r="E36" s="37">
        <f t="shared" si="1"/>
        <v>34893</v>
      </c>
      <c r="F36" s="37">
        <f t="shared" si="1"/>
        <v>90212</v>
      </c>
      <c r="G36" s="37">
        <f t="shared" si="1"/>
        <v>55851</v>
      </c>
      <c r="H36" s="31">
        <f>SUM(H25:H34)</f>
        <v>691486</v>
      </c>
      <c r="I36" s="37">
        <f>SUM(I25:I34)</f>
        <v>6280</v>
      </c>
      <c r="J36" s="39">
        <f>SUM(J25:J34)</f>
        <v>697766</v>
      </c>
    </row>
    <row r="37" spans="1:10" ht="16.5" thickTop="1" thickBot="1" x14ac:dyDescent="0.3">
      <c r="A37" s="11" t="s">
        <v>27</v>
      </c>
      <c r="B37" s="40">
        <f t="shared" ref="B37:J37" si="2">SUM(B24,B36)</f>
        <v>350869</v>
      </c>
      <c r="C37" s="40">
        <f t="shared" si="2"/>
        <v>196187</v>
      </c>
      <c r="D37" s="40">
        <f t="shared" si="2"/>
        <v>59163</v>
      </c>
      <c r="E37" s="40">
        <f t="shared" si="2"/>
        <v>39177</v>
      </c>
      <c r="F37" s="40">
        <f t="shared" si="2"/>
        <v>105290</v>
      </c>
      <c r="G37" s="41">
        <f t="shared" si="2"/>
        <v>69717</v>
      </c>
      <c r="H37" s="32">
        <f t="shared" si="2"/>
        <v>820403</v>
      </c>
      <c r="I37" s="40">
        <f t="shared" si="2"/>
        <v>7467</v>
      </c>
      <c r="J37" s="42">
        <f t="shared" si="2"/>
        <v>827870</v>
      </c>
    </row>
    <row r="38" spans="1:10" ht="15.75" thickTop="1" x14ac:dyDescent="0.25">
      <c r="B38" s="12"/>
    </row>
    <row r="40" spans="1:10" x14ac:dyDescent="0.25">
      <c r="I40" s="3"/>
      <c r="J40" s="3"/>
    </row>
    <row r="41" spans="1:10" x14ac:dyDescent="0.25">
      <c r="I41" s="3"/>
      <c r="J41" s="3"/>
    </row>
  </sheetData>
  <mergeCells count="5">
    <mergeCell ref="A1:J1"/>
    <mergeCell ref="A2:J2"/>
    <mergeCell ref="A3:J3"/>
    <mergeCell ref="A4:J4"/>
    <mergeCell ref="A5:J5"/>
  </mergeCells>
  <printOptions horizontalCentered="1"/>
  <pageMargins left="0.7" right="0.7" top="0.75" bottom="0.75" header="0.3" footer="0.3"/>
  <pageSetup scale="6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1"/>
  <sheetViews>
    <sheetView topLeftCell="A16" workbookViewId="0">
      <selection activeCell="A3" sqref="A3:J3"/>
    </sheetView>
  </sheetViews>
  <sheetFormatPr defaultRowHeight="15" x14ac:dyDescent="0.25"/>
  <cols>
    <col min="1" max="1" width="40.85546875" style="1" bestFit="1" customWidth="1"/>
    <col min="2" max="10" width="15.7109375" customWidth="1"/>
  </cols>
  <sheetData>
    <row r="1" spans="1:10" ht="19.5" thickTop="1" x14ac:dyDescent="0.3">
      <c r="A1" s="48" t="s">
        <v>28</v>
      </c>
      <c r="B1" s="49"/>
      <c r="C1" s="49"/>
      <c r="D1" s="49"/>
      <c r="E1" s="49"/>
      <c r="F1" s="49"/>
      <c r="G1" s="49"/>
      <c r="H1" s="49"/>
      <c r="I1" s="49"/>
      <c r="J1" s="50"/>
    </row>
    <row r="2" spans="1:10" ht="18.75" x14ac:dyDescent="0.3">
      <c r="A2" s="51" t="s">
        <v>30</v>
      </c>
      <c r="B2" s="52"/>
      <c r="C2" s="52"/>
      <c r="D2" s="52"/>
      <c r="E2" s="52"/>
      <c r="F2" s="52"/>
      <c r="G2" s="52"/>
      <c r="H2" s="52"/>
      <c r="I2" s="52"/>
      <c r="J2" s="53"/>
    </row>
    <row r="3" spans="1:10" ht="18.75" x14ac:dyDescent="0.3">
      <c r="A3" s="54" t="s">
        <v>51</v>
      </c>
      <c r="B3" s="55"/>
      <c r="C3" s="55"/>
      <c r="D3" s="55"/>
      <c r="E3" s="55"/>
      <c r="F3" s="55"/>
      <c r="G3" s="55"/>
      <c r="H3" s="55"/>
      <c r="I3" s="55"/>
      <c r="J3" s="56"/>
    </row>
    <row r="4" spans="1:10" ht="19.5" thickBot="1" x14ac:dyDescent="0.35">
      <c r="A4" s="57"/>
      <c r="B4" s="58"/>
      <c r="C4" s="58"/>
      <c r="D4" s="58"/>
      <c r="E4" s="58"/>
      <c r="F4" s="58"/>
      <c r="G4" s="58"/>
      <c r="H4" s="58"/>
      <c r="I4" s="58"/>
      <c r="J4" s="59"/>
    </row>
    <row r="5" spans="1:10" ht="15.75" thickBot="1" x14ac:dyDescent="0.3">
      <c r="A5" s="60"/>
      <c r="B5" s="61"/>
      <c r="C5" s="61"/>
      <c r="D5" s="61"/>
      <c r="E5" s="61"/>
      <c r="F5" s="61"/>
      <c r="G5" s="61"/>
      <c r="H5" s="61"/>
      <c r="I5" s="61"/>
      <c r="J5" s="62"/>
    </row>
    <row r="6" spans="1:10" s="13" customFormat="1" ht="30.75" thickBot="1" x14ac:dyDescent="0.3">
      <c r="A6" s="16" t="s">
        <v>0</v>
      </c>
      <c r="B6" s="14" t="s">
        <v>31</v>
      </c>
      <c r="C6" s="15" t="s">
        <v>32</v>
      </c>
      <c r="D6" s="15" t="s">
        <v>33</v>
      </c>
      <c r="E6" s="15" t="s">
        <v>34</v>
      </c>
      <c r="F6" s="15" t="s">
        <v>35</v>
      </c>
      <c r="G6" s="25" t="s">
        <v>36</v>
      </c>
      <c r="H6" s="33" t="s">
        <v>37</v>
      </c>
      <c r="I6" s="30" t="s">
        <v>38</v>
      </c>
      <c r="J6" s="17" t="s">
        <v>39</v>
      </c>
    </row>
    <row r="7" spans="1:10" ht="15.75" thickTop="1" x14ac:dyDescent="0.25">
      <c r="A7" s="18" t="s">
        <v>1</v>
      </c>
      <c r="B7" s="5">
        <v>1</v>
      </c>
      <c r="C7" s="6">
        <v>0</v>
      </c>
      <c r="D7" s="6">
        <v>0</v>
      </c>
      <c r="E7" s="6">
        <v>0</v>
      </c>
      <c r="F7" s="6">
        <v>0</v>
      </c>
      <c r="G7" s="26">
        <v>0</v>
      </c>
      <c r="H7" s="34">
        <f>SUM(B7:G7)</f>
        <v>1</v>
      </c>
      <c r="I7" s="5">
        <v>0</v>
      </c>
      <c r="J7" s="19">
        <f>SUM(H7,I7)</f>
        <v>1</v>
      </c>
    </row>
    <row r="8" spans="1:10" x14ac:dyDescent="0.25">
      <c r="A8" s="18" t="s">
        <v>2</v>
      </c>
      <c r="B8" s="4">
        <v>0</v>
      </c>
      <c r="C8" s="2">
        <v>0</v>
      </c>
      <c r="D8" s="2">
        <v>0</v>
      </c>
      <c r="E8" s="2">
        <v>0</v>
      </c>
      <c r="F8" s="2">
        <v>4</v>
      </c>
      <c r="G8" s="27">
        <v>0</v>
      </c>
      <c r="H8" s="34">
        <f t="shared" ref="H8:H22" si="0">SUM(B8:G8)</f>
        <v>4</v>
      </c>
      <c r="I8" s="4">
        <v>0</v>
      </c>
      <c r="J8" s="19">
        <f t="shared" ref="J8:J22" si="1">SUM(H8,I8)</f>
        <v>4</v>
      </c>
    </row>
    <row r="9" spans="1:10" x14ac:dyDescent="0.25">
      <c r="A9" s="18" t="s">
        <v>3</v>
      </c>
      <c r="B9" s="4">
        <v>66</v>
      </c>
      <c r="C9" s="2">
        <v>35</v>
      </c>
      <c r="D9" s="2">
        <v>16</v>
      </c>
      <c r="E9" s="2">
        <v>5</v>
      </c>
      <c r="F9" s="2">
        <v>42</v>
      </c>
      <c r="G9" s="27">
        <v>23</v>
      </c>
      <c r="H9" s="34">
        <f t="shared" si="0"/>
        <v>187</v>
      </c>
      <c r="I9" s="4">
        <v>1</v>
      </c>
      <c r="J9" s="19">
        <f t="shared" si="1"/>
        <v>188</v>
      </c>
    </row>
    <row r="10" spans="1:10" x14ac:dyDescent="0.25">
      <c r="A10" s="18" t="s">
        <v>4</v>
      </c>
      <c r="B10" s="4">
        <v>145</v>
      </c>
      <c r="C10" s="2">
        <v>74</v>
      </c>
      <c r="D10" s="2">
        <v>31</v>
      </c>
      <c r="E10" s="2">
        <v>7</v>
      </c>
      <c r="F10" s="2">
        <v>113</v>
      </c>
      <c r="G10" s="27">
        <v>55</v>
      </c>
      <c r="H10" s="34">
        <f t="shared" si="0"/>
        <v>425</v>
      </c>
      <c r="I10" s="4">
        <v>1</v>
      </c>
      <c r="J10" s="19">
        <f t="shared" si="1"/>
        <v>426</v>
      </c>
    </row>
    <row r="11" spans="1:10" x14ac:dyDescent="0.25">
      <c r="A11" s="18" t="s">
        <v>5</v>
      </c>
      <c r="B11" s="4">
        <v>1498</v>
      </c>
      <c r="C11" s="2">
        <v>1851</v>
      </c>
      <c r="D11" s="2">
        <v>1219</v>
      </c>
      <c r="E11" s="2">
        <v>310</v>
      </c>
      <c r="F11" s="2">
        <v>1019</v>
      </c>
      <c r="G11" s="27">
        <v>1100</v>
      </c>
      <c r="H11" s="34">
        <f t="shared" si="0"/>
        <v>6997</v>
      </c>
      <c r="I11" s="4">
        <v>41</v>
      </c>
      <c r="J11" s="19">
        <f t="shared" si="1"/>
        <v>7038</v>
      </c>
    </row>
    <row r="12" spans="1:10" x14ac:dyDescent="0.25">
      <c r="A12" s="18" t="s">
        <v>6</v>
      </c>
      <c r="B12" s="4">
        <v>3666</v>
      </c>
      <c r="C12" s="2">
        <v>5488</v>
      </c>
      <c r="D12" s="2">
        <v>3086</v>
      </c>
      <c r="E12" s="2">
        <v>829</v>
      </c>
      <c r="F12" s="2">
        <v>3999</v>
      </c>
      <c r="G12" s="27">
        <v>4111</v>
      </c>
      <c r="H12" s="34">
        <f t="shared" si="0"/>
        <v>21179</v>
      </c>
      <c r="I12" s="4">
        <v>153</v>
      </c>
      <c r="J12" s="19">
        <f t="shared" si="1"/>
        <v>21332</v>
      </c>
    </row>
    <row r="13" spans="1:10" x14ac:dyDescent="0.25">
      <c r="A13" s="18" t="s">
        <v>7</v>
      </c>
      <c r="B13" s="4">
        <v>6714</v>
      </c>
      <c r="C13" s="2">
        <v>6898</v>
      </c>
      <c r="D13" s="2">
        <v>4570</v>
      </c>
      <c r="E13" s="2">
        <v>1098</v>
      </c>
      <c r="F13" s="2">
        <v>4224</v>
      </c>
      <c r="G13" s="27">
        <v>4815</v>
      </c>
      <c r="H13" s="34">
        <f t="shared" si="0"/>
        <v>28319</v>
      </c>
      <c r="I13" s="4">
        <v>299</v>
      </c>
      <c r="J13" s="19">
        <f t="shared" si="1"/>
        <v>28618</v>
      </c>
    </row>
    <row r="14" spans="1:10" x14ac:dyDescent="0.25">
      <c r="A14" s="18" t="s">
        <v>8</v>
      </c>
      <c r="B14" s="4">
        <v>10640</v>
      </c>
      <c r="C14" s="2">
        <v>10501</v>
      </c>
      <c r="D14" s="2">
        <v>3938</v>
      </c>
      <c r="E14" s="2">
        <v>1195</v>
      </c>
      <c r="F14" s="2">
        <v>3413</v>
      </c>
      <c r="G14" s="27">
        <v>2852</v>
      </c>
      <c r="H14" s="34">
        <f t="shared" si="0"/>
        <v>32539</v>
      </c>
      <c r="I14" s="4">
        <v>427</v>
      </c>
      <c r="J14" s="19">
        <f t="shared" si="1"/>
        <v>32966</v>
      </c>
    </row>
    <row r="15" spans="1:10" x14ac:dyDescent="0.25">
      <c r="A15" s="18" t="s">
        <v>9</v>
      </c>
      <c r="B15" s="4">
        <v>8563</v>
      </c>
      <c r="C15" s="2">
        <v>4988</v>
      </c>
      <c r="D15" s="2">
        <v>927</v>
      </c>
      <c r="E15" s="2">
        <v>279</v>
      </c>
      <c r="F15" s="2">
        <v>1126</v>
      </c>
      <c r="G15" s="27">
        <v>498</v>
      </c>
      <c r="H15" s="34">
        <f t="shared" si="0"/>
        <v>16381</v>
      </c>
      <c r="I15" s="4">
        <v>81</v>
      </c>
      <c r="J15" s="19">
        <f t="shared" si="1"/>
        <v>16462</v>
      </c>
    </row>
    <row r="16" spans="1:10" x14ac:dyDescent="0.25">
      <c r="A16" s="18" t="s">
        <v>10</v>
      </c>
      <c r="B16" s="4">
        <v>5434</v>
      </c>
      <c r="C16" s="2">
        <v>2543</v>
      </c>
      <c r="D16" s="2">
        <v>580</v>
      </c>
      <c r="E16" s="2">
        <v>287</v>
      </c>
      <c r="F16" s="2">
        <v>1147</v>
      </c>
      <c r="G16" s="27">
        <v>396</v>
      </c>
      <c r="H16" s="34">
        <f t="shared" si="0"/>
        <v>10387</v>
      </c>
      <c r="I16" s="4">
        <v>59</v>
      </c>
      <c r="J16" s="19">
        <f t="shared" si="1"/>
        <v>10446</v>
      </c>
    </row>
    <row r="17" spans="1:10" x14ac:dyDescent="0.25">
      <c r="A17" s="18" t="s">
        <v>11</v>
      </c>
      <c r="B17" s="4">
        <v>384</v>
      </c>
      <c r="C17" s="2">
        <v>97</v>
      </c>
      <c r="D17" s="2">
        <v>2</v>
      </c>
      <c r="E17" s="2">
        <v>11</v>
      </c>
      <c r="F17" s="2">
        <v>0</v>
      </c>
      <c r="G17" s="27">
        <v>0</v>
      </c>
      <c r="H17" s="34">
        <f t="shared" si="0"/>
        <v>494</v>
      </c>
      <c r="I17" s="4">
        <v>0</v>
      </c>
      <c r="J17" s="19">
        <f t="shared" si="1"/>
        <v>494</v>
      </c>
    </row>
    <row r="18" spans="1:10" x14ac:dyDescent="0.25">
      <c r="A18" s="18" t="s">
        <v>12</v>
      </c>
      <c r="B18" s="4">
        <v>1493</v>
      </c>
      <c r="C18" s="2">
        <v>562</v>
      </c>
      <c r="D18" s="2">
        <v>14</v>
      </c>
      <c r="E18" s="2">
        <v>49</v>
      </c>
      <c r="F18" s="2">
        <v>0</v>
      </c>
      <c r="G18" s="27">
        <v>0</v>
      </c>
      <c r="H18" s="34">
        <f t="shared" si="0"/>
        <v>2118</v>
      </c>
      <c r="I18" s="4">
        <v>18</v>
      </c>
      <c r="J18" s="19">
        <f t="shared" si="1"/>
        <v>2136</v>
      </c>
    </row>
    <row r="19" spans="1:10" x14ac:dyDescent="0.25">
      <c r="A19" s="18" t="s">
        <v>13</v>
      </c>
      <c r="B19" s="4">
        <v>2054</v>
      </c>
      <c r="C19" s="2">
        <v>776</v>
      </c>
      <c r="D19" s="2">
        <v>34</v>
      </c>
      <c r="E19" s="2">
        <v>78</v>
      </c>
      <c r="F19" s="2">
        <v>0</v>
      </c>
      <c r="G19" s="27">
        <v>0</v>
      </c>
      <c r="H19" s="34">
        <f t="shared" si="0"/>
        <v>2942</v>
      </c>
      <c r="I19" s="4">
        <v>55</v>
      </c>
      <c r="J19" s="19">
        <f t="shared" si="1"/>
        <v>2997</v>
      </c>
    </row>
    <row r="20" spans="1:10" x14ac:dyDescent="0.25">
      <c r="A20" s="18" t="s">
        <v>14</v>
      </c>
      <c r="B20" s="4">
        <v>3521</v>
      </c>
      <c r="C20" s="2">
        <v>1447</v>
      </c>
      <c r="D20" s="2">
        <v>40</v>
      </c>
      <c r="E20" s="2">
        <v>107</v>
      </c>
      <c r="F20" s="2">
        <v>0</v>
      </c>
      <c r="G20" s="27">
        <v>0</v>
      </c>
      <c r="H20" s="34">
        <f t="shared" si="0"/>
        <v>5115</v>
      </c>
      <c r="I20" s="4">
        <v>57</v>
      </c>
      <c r="J20" s="19">
        <f t="shared" si="1"/>
        <v>5172</v>
      </c>
    </row>
    <row r="21" spans="1:10" x14ac:dyDescent="0.25">
      <c r="A21" s="18" t="s">
        <v>15</v>
      </c>
      <c r="B21" s="4">
        <v>1125</v>
      </c>
      <c r="C21" s="2">
        <v>401</v>
      </c>
      <c r="D21" s="2">
        <v>0</v>
      </c>
      <c r="E21" s="2">
        <v>13</v>
      </c>
      <c r="F21" s="2">
        <v>0</v>
      </c>
      <c r="G21" s="27">
        <v>0</v>
      </c>
      <c r="H21" s="34">
        <f t="shared" si="0"/>
        <v>1539</v>
      </c>
      <c r="I21" s="4">
        <v>0</v>
      </c>
      <c r="J21" s="19">
        <f t="shared" si="1"/>
        <v>1539</v>
      </c>
    </row>
    <row r="22" spans="1:10" x14ac:dyDescent="0.25">
      <c r="A22" s="18" t="s">
        <v>59</v>
      </c>
      <c r="B22" s="47">
        <v>0</v>
      </c>
      <c r="C22" s="47">
        <v>0</v>
      </c>
      <c r="D22" s="47">
        <v>0</v>
      </c>
      <c r="E22" s="47">
        <v>0</v>
      </c>
      <c r="F22" s="47">
        <v>3</v>
      </c>
      <c r="G22" s="47">
        <v>0</v>
      </c>
      <c r="H22" s="34">
        <f t="shared" si="0"/>
        <v>3</v>
      </c>
      <c r="I22" s="7">
        <v>0</v>
      </c>
      <c r="J22" s="19">
        <f t="shared" si="1"/>
        <v>3</v>
      </c>
    </row>
    <row r="23" spans="1:10" ht="15.75" thickBot="1" x14ac:dyDescent="0.3">
      <c r="A23" s="20"/>
      <c r="B23" s="7"/>
      <c r="C23" s="8"/>
      <c r="D23" s="8"/>
      <c r="E23" s="8"/>
      <c r="F23" s="8"/>
      <c r="G23" s="28"/>
      <c r="H23" s="35"/>
      <c r="I23" s="7"/>
      <c r="J23" s="21"/>
    </row>
    <row r="24" spans="1:10" ht="24.95" customHeight="1" thickBot="1" x14ac:dyDescent="0.3">
      <c r="A24" s="22" t="s">
        <v>16</v>
      </c>
      <c r="B24" s="37">
        <f>SUM(B7:B22)</f>
        <v>45304</v>
      </c>
      <c r="C24" s="37">
        <f t="shared" ref="C24:J24" si="2">SUM(C7:C22)</f>
        <v>35661</v>
      </c>
      <c r="D24" s="37">
        <f t="shared" si="2"/>
        <v>14457</v>
      </c>
      <c r="E24" s="37">
        <f t="shared" si="2"/>
        <v>4268</v>
      </c>
      <c r="F24" s="37">
        <f t="shared" si="2"/>
        <v>15090</v>
      </c>
      <c r="G24" s="38">
        <f t="shared" si="2"/>
        <v>13850</v>
      </c>
      <c r="H24" s="31">
        <f t="shared" si="2"/>
        <v>128630</v>
      </c>
      <c r="I24" s="37">
        <f t="shared" si="2"/>
        <v>1192</v>
      </c>
      <c r="J24" s="39">
        <f t="shared" si="2"/>
        <v>129822</v>
      </c>
    </row>
    <row r="25" spans="1:10" x14ac:dyDescent="0.25">
      <c r="A25" s="18" t="s">
        <v>17</v>
      </c>
      <c r="B25" s="5">
        <v>2045</v>
      </c>
      <c r="C25" s="6">
        <v>1562</v>
      </c>
      <c r="D25" s="6">
        <v>362</v>
      </c>
      <c r="E25" s="6">
        <v>172</v>
      </c>
      <c r="F25" s="6">
        <v>1907</v>
      </c>
      <c r="G25" s="26">
        <v>967</v>
      </c>
      <c r="H25" s="34">
        <f>SUM(B25:G25)</f>
        <v>7015</v>
      </c>
      <c r="I25" s="5">
        <v>69</v>
      </c>
      <c r="J25" s="23">
        <f>H25+I25</f>
        <v>7084</v>
      </c>
    </row>
    <row r="26" spans="1:10" x14ac:dyDescent="0.25">
      <c r="A26" s="18" t="s">
        <v>18</v>
      </c>
      <c r="B26" s="4">
        <v>7460</v>
      </c>
      <c r="C26" s="2">
        <v>5541</v>
      </c>
      <c r="D26" s="2">
        <v>936</v>
      </c>
      <c r="E26" s="2">
        <v>533</v>
      </c>
      <c r="F26" s="2">
        <v>4535</v>
      </c>
      <c r="G26" s="27">
        <v>3015</v>
      </c>
      <c r="H26" s="34">
        <f t="shared" ref="H26:H34" si="3">SUM(B26:G26)</f>
        <v>22020</v>
      </c>
      <c r="I26" s="4">
        <v>117</v>
      </c>
      <c r="J26" s="23">
        <f t="shared" ref="J26:J34" si="4">H26+I26</f>
        <v>22137</v>
      </c>
    </row>
    <row r="27" spans="1:10" x14ac:dyDescent="0.25">
      <c r="A27" s="18" t="s">
        <v>19</v>
      </c>
      <c r="B27" s="4">
        <v>21809</v>
      </c>
      <c r="C27" s="2">
        <v>14941</v>
      </c>
      <c r="D27" s="2">
        <v>3712</v>
      </c>
      <c r="E27" s="2">
        <v>1062</v>
      </c>
      <c r="F27" s="2">
        <v>15007</v>
      </c>
      <c r="G27" s="27">
        <v>8494</v>
      </c>
      <c r="H27" s="34">
        <f t="shared" si="3"/>
        <v>65025</v>
      </c>
      <c r="I27" s="4">
        <v>683</v>
      </c>
      <c r="J27" s="23">
        <f t="shared" si="4"/>
        <v>65708</v>
      </c>
    </row>
    <row r="28" spans="1:10" x14ac:dyDescent="0.25">
      <c r="A28" s="18" t="s">
        <v>20</v>
      </c>
      <c r="B28" s="4">
        <v>40102</v>
      </c>
      <c r="C28" s="2">
        <v>20425</v>
      </c>
      <c r="D28" s="2">
        <v>10761</v>
      </c>
      <c r="E28" s="2">
        <v>2205</v>
      </c>
      <c r="F28" s="2">
        <v>18650</v>
      </c>
      <c r="G28" s="27">
        <v>12306</v>
      </c>
      <c r="H28" s="34">
        <f t="shared" si="3"/>
        <v>104449</v>
      </c>
      <c r="I28" s="4">
        <v>1314</v>
      </c>
      <c r="J28" s="23">
        <f t="shared" si="4"/>
        <v>105763</v>
      </c>
    </row>
    <row r="29" spans="1:10" x14ac:dyDescent="0.25">
      <c r="A29" s="18" t="s">
        <v>21</v>
      </c>
      <c r="B29" s="4">
        <v>64082</v>
      </c>
      <c r="C29" s="2">
        <v>28173</v>
      </c>
      <c r="D29" s="2">
        <v>13624</v>
      </c>
      <c r="E29" s="2">
        <v>4185</v>
      </c>
      <c r="F29" s="2">
        <v>18647</v>
      </c>
      <c r="G29" s="27">
        <v>9690</v>
      </c>
      <c r="H29" s="34">
        <f t="shared" si="3"/>
        <v>138401</v>
      </c>
      <c r="I29" s="4">
        <v>1747</v>
      </c>
      <c r="J29" s="23">
        <f t="shared" si="4"/>
        <v>140148</v>
      </c>
    </row>
    <row r="30" spans="1:10" x14ac:dyDescent="0.25">
      <c r="A30" s="18" t="s">
        <v>22</v>
      </c>
      <c r="B30" s="4">
        <v>90363</v>
      </c>
      <c r="C30" s="2">
        <v>58017</v>
      </c>
      <c r="D30" s="2">
        <v>7891</v>
      </c>
      <c r="E30" s="2">
        <v>6043</v>
      </c>
      <c r="F30" s="2">
        <v>16240</v>
      </c>
      <c r="G30" s="27">
        <v>15953</v>
      </c>
      <c r="H30" s="34">
        <f t="shared" si="3"/>
        <v>194507</v>
      </c>
      <c r="I30" s="4">
        <v>2103</v>
      </c>
      <c r="J30" s="23">
        <f t="shared" si="4"/>
        <v>196610</v>
      </c>
    </row>
    <row r="31" spans="1:10" x14ac:dyDescent="0.25">
      <c r="A31" s="18" t="s">
        <v>23</v>
      </c>
      <c r="B31" s="4">
        <v>39037</v>
      </c>
      <c r="C31" s="2">
        <v>16984</v>
      </c>
      <c r="D31" s="2">
        <v>4823</v>
      </c>
      <c r="E31" s="2">
        <v>15490</v>
      </c>
      <c r="F31" s="2">
        <v>14195</v>
      </c>
      <c r="G31" s="27">
        <v>3464</v>
      </c>
      <c r="H31" s="34">
        <f t="shared" si="3"/>
        <v>93993</v>
      </c>
      <c r="I31" s="4">
        <v>178</v>
      </c>
      <c r="J31" s="23">
        <f t="shared" si="4"/>
        <v>94171</v>
      </c>
    </row>
    <row r="32" spans="1:10" x14ac:dyDescent="0.25">
      <c r="A32" s="18" t="s">
        <v>24</v>
      </c>
      <c r="B32" s="4">
        <v>21901</v>
      </c>
      <c r="C32" s="2">
        <v>7582</v>
      </c>
      <c r="D32" s="2">
        <v>1302</v>
      </c>
      <c r="E32" s="2">
        <v>3517</v>
      </c>
      <c r="F32" s="2">
        <v>377</v>
      </c>
      <c r="G32" s="27">
        <v>970</v>
      </c>
      <c r="H32" s="34">
        <f t="shared" si="3"/>
        <v>35649</v>
      </c>
      <c r="I32" s="4">
        <v>14</v>
      </c>
      <c r="J32" s="23">
        <f t="shared" si="4"/>
        <v>35663</v>
      </c>
    </row>
    <row r="33" spans="1:10" x14ac:dyDescent="0.25">
      <c r="A33" s="18" t="s">
        <v>25</v>
      </c>
      <c r="B33" s="2">
        <v>17778</v>
      </c>
      <c r="C33" s="2">
        <v>8240</v>
      </c>
      <c r="D33" s="2">
        <v>780</v>
      </c>
      <c r="E33" s="2">
        <v>1478</v>
      </c>
      <c r="F33" s="2">
        <v>664</v>
      </c>
      <c r="G33" s="27">
        <v>802</v>
      </c>
      <c r="H33" s="34">
        <f t="shared" si="3"/>
        <v>29742</v>
      </c>
      <c r="I33" s="4">
        <v>0</v>
      </c>
      <c r="J33" s="23">
        <f t="shared" si="4"/>
        <v>29742</v>
      </c>
    </row>
    <row r="34" spans="1:10" s="3" customFormat="1" x14ac:dyDescent="0.25">
      <c r="A34" s="18" t="s">
        <v>61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7">
        <v>0</v>
      </c>
      <c r="H34" s="34">
        <f t="shared" si="3"/>
        <v>0</v>
      </c>
      <c r="I34" s="4">
        <v>0</v>
      </c>
      <c r="J34" s="23">
        <f t="shared" si="4"/>
        <v>0</v>
      </c>
    </row>
    <row r="35" spans="1:10" s="3" customFormat="1" ht="15.75" customHeight="1" thickBot="1" x14ac:dyDescent="0.3">
      <c r="A35" s="18"/>
      <c r="B35" s="9"/>
      <c r="C35" s="10"/>
      <c r="D35" s="10"/>
      <c r="E35" s="10"/>
      <c r="F35" s="10"/>
      <c r="G35" s="29"/>
      <c r="H35" s="36"/>
      <c r="I35" s="9"/>
      <c r="J35" s="24" t="s">
        <v>29</v>
      </c>
    </row>
    <row r="36" spans="1:10" ht="15.75" thickBot="1" x14ac:dyDescent="0.3">
      <c r="A36" s="22" t="s">
        <v>26</v>
      </c>
      <c r="B36" s="37">
        <f>SUM(B25:B34)</f>
        <v>304577</v>
      </c>
      <c r="C36" s="37">
        <f t="shared" ref="C36:G36" si="5">SUM(C25:C34)</f>
        <v>161465</v>
      </c>
      <c r="D36" s="37">
        <f t="shared" si="5"/>
        <v>44191</v>
      </c>
      <c r="E36" s="37">
        <f t="shared" si="5"/>
        <v>34685</v>
      </c>
      <c r="F36" s="37">
        <f t="shared" si="5"/>
        <v>90222</v>
      </c>
      <c r="G36" s="37">
        <f t="shared" si="5"/>
        <v>55661</v>
      </c>
      <c r="H36" s="31">
        <f>SUM(H25:H34)</f>
        <v>690801</v>
      </c>
      <c r="I36" s="37">
        <f>SUM(I25:I34)</f>
        <v>6225</v>
      </c>
      <c r="J36" s="39">
        <f>SUM(J25:J34)</f>
        <v>697026</v>
      </c>
    </row>
    <row r="37" spans="1:10" ht="16.5" thickTop="1" thickBot="1" x14ac:dyDescent="0.3">
      <c r="A37" s="11" t="s">
        <v>27</v>
      </c>
      <c r="B37" s="40">
        <f t="shared" ref="B37:J37" si="6">SUM(B24,B36)</f>
        <v>349881</v>
      </c>
      <c r="C37" s="40">
        <f t="shared" si="6"/>
        <v>197126</v>
      </c>
      <c r="D37" s="40">
        <f t="shared" si="6"/>
        <v>58648</v>
      </c>
      <c r="E37" s="40">
        <f t="shared" si="6"/>
        <v>38953</v>
      </c>
      <c r="F37" s="40">
        <f t="shared" si="6"/>
        <v>105312</v>
      </c>
      <c r="G37" s="41">
        <f t="shared" si="6"/>
        <v>69511</v>
      </c>
      <c r="H37" s="32">
        <f t="shared" si="6"/>
        <v>819431</v>
      </c>
      <c r="I37" s="40">
        <v>7417</v>
      </c>
      <c r="J37" s="42">
        <f t="shared" si="6"/>
        <v>826848</v>
      </c>
    </row>
    <row r="38" spans="1:10" ht="15.75" thickTop="1" x14ac:dyDescent="0.25">
      <c r="B38" s="12"/>
    </row>
    <row r="40" spans="1:10" x14ac:dyDescent="0.25">
      <c r="I40" s="3"/>
      <c r="J40" s="3"/>
    </row>
    <row r="41" spans="1:10" x14ac:dyDescent="0.25">
      <c r="I41" s="3"/>
      <c r="J41" s="3"/>
    </row>
  </sheetData>
  <mergeCells count="5">
    <mergeCell ref="A1:J1"/>
    <mergeCell ref="A2:J2"/>
    <mergeCell ref="A3:J3"/>
    <mergeCell ref="A4:J4"/>
    <mergeCell ref="A5:J5"/>
  </mergeCells>
  <printOptions horizontalCentered="1"/>
  <pageMargins left="0.7" right="0.7" top="0.75" bottom="0.75" header="0.3" footer="0.3"/>
  <pageSetup scale="6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1"/>
  <sheetViews>
    <sheetView topLeftCell="A19" workbookViewId="0">
      <selection activeCell="A3" sqref="A3:J3"/>
    </sheetView>
  </sheetViews>
  <sheetFormatPr defaultRowHeight="15" x14ac:dyDescent="0.25"/>
  <cols>
    <col min="1" max="1" width="40.85546875" style="1" bestFit="1" customWidth="1"/>
    <col min="2" max="10" width="15.7109375" customWidth="1"/>
  </cols>
  <sheetData>
    <row r="1" spans="1:10" ht="19.5" thickTop="1" x14ac:dyDescent="0.3">
      <c r="A1" s="48" t="s">
        <v>28</v>
      </c>
      <c r="B1" s="49"/>
      <c r="C1" s="49"/>
      <c r="D1" s="49"/>
      <c r="E1" s="49"/>
      <c r="F1" s="49"/>
      <c r="G1" s="49"/>
      <c r="H1" s="49"/>
      <c r="I1" s="49"/>
      <c r="J1" s="50"/>
    </row>
    <row r="2" spans="1:10" ht="18.75" x14ac:dyDescent="0.3">
      <c r="A2" s="51" t="s">
        <v>30</v>
      </c>
      <c r="B2" s="52"/>
      <c r="C2" s="52"/>
      <c r="D2" s="52"/>
      <c r="E2" s="52"/>
      <c r="F2" s="52"/>
      <c r="G2" s="52"/>
      <c r="H2" s="52"/>
      <c r="I2" s="52"/>
      <c r="J2" s="53"/>
    </row>
    <row r="3" spans="1:10" ht="18.75" x14ac:dyDescent="0.3">
      <c r="A3" s="54" t="s">
        <v>56</v>
      </c>
      <c r="B3" s="55"/>
      <c r="C3" s="55"/>
      <c r="D3" s="55"/>
      <c r="E3" s="55"/>
      <c r="F3" s="55"/>
      <c r="G3" s="55"/>
      <c r="H3" s="55"/>
      <c r="I3" s="55"/>
      <c r="J3" s="56"/>
    </row>
    <row r="4" spans="1:10" ht="19.5" thickBot="1" x14ac:dyDescent="0.35">
      <c r="A4" s="57"/>
      <c r="B4" s="58"/>
      <c r="C4" s="58"/>
      <c r="D4" s="58"/>
      <c r="E4" s="58"/>
      <c r="F4" s="58"/>
      <c r="G4" s="58"/>
      <c r="H4" s="58"/>
      <c r="I4" s="58"/>
      <c r="J4" s="59"/>
    </row>
    <row r="5" spans="1:10" ht="15.75" thickBot="1" x14ac:dyDescent="0.3">
      <c r="A5" s="60"/>
      <c r="B5" s="61"/>
      <c r="C5" s="61"/>
      <c r="D5" s="61"/>
      <c r="E5" s="61"/>
      <c r="F5" s="61"/>
      <c r="G5" s="61"/>
      <c r="H5" s="61"/>
      <c r="I5" s="61"/>
      <c r="J5" s="62"/>
    </row>
    <row r="6" spans="1:10" s="13" customFormat="1" ht="30.75" thickBot="1" x14ac:dyDescent="0.3">
      <c r="A6" s="16" t="s">
        <v>0</v>
      </c>
      <c r="B6" s="14" t="s">
        <v>31</v>
      </c>
      <c r="C6" s="15" t="s">
        <v>32</v>
      </c>
      <c r="D6" s="15" t="s">
        <v>33</v>
      </c>
      <c r="E6" s="15" t="s">
        <v>34</v>
      </c>
      <c r="F6" s="15" t="s">
        <v>35</v>
      </c>
      <c r="G6" s="25" t="s">
        <v>36</v>
      </c>
      <c r="H6" s="33" t="s">
        <v>37</v>
      </c>
      <c r="I6" s="30" t="s">
        <v>41</v>
      </c>
      <c r="J6" s="17" t="s">
        <v>39</v>
      </c>
    </row>
    <row r="7" spans="1:10" ht="15.75" thickTop="1" x14ac:dyDescent="0.25">
      <c r="A7" s="18" t="s">
        <v>1</v>
      </c>
      <c r="B7" s="5">
        <v>1</v>
      </c>
      <c r="C7" s="6">
        <v>0</v>
      </c>
      <c r="D7" s="6">
        <v>0</v>
      </c>
      <c r="E7" s="6">
        <v>0</v>
      </c>
      <c r="F7" s="6">
        <v>0</v>
      </c>
      <c r="G7" s="26">
        <v>0</v>
      </c>
      <c r="H7" s="34">
        <f>SUM(B7:G7)</f>
        <v>1</v>
      </c>
      <c r="I7" s="5">
        <v>0</v>
      </c>
      <c r="J7" s="19">
        <f>SUM(H7,I7)</f>
        <v>1</v>
      </c>
    </row>
    <row r="8" spans="1:10" x14ac:dyDescent="0.25">
      <c r="A8" s="18" t="s">
        <v>2</v>
      </c>
      <c r="B8" s="4">
        <v>0</v>
      </c>
      <c r="C8" s="2">
        <v>0</v>
      </c>
      <c r="D8" s="2">
        <v>0</v>
      </c>
      <c r="E8" s="2">
        <v>0</v>
      </c>
      <c r="F8" s="2">
        <v>4</v>
      </c>
      <c r="G8" s="27">
        <v>0</v>
      </c>
      <c r="H8" s="34">
        <f t="shared" ref="H8:H21" si="0">SUM(B8:G8)</f>
        <v>4</v>
      </c>
      <c r="I8" s="4">
        <v>0</v>
      </c>
      <c r="J8" s="19">
        <f t="shared" ref="J8:J21" si="1">SUM(H8,I8)</f>
        <v>4</v>
      </c>
    </row>
    <row r="9" spans="1:10" x14ac:dyDescent="0.25">
      <c r="A9" s="18" t="s">
        <v>3</v>
      </c>
      <c r="B9" s="4">
        <v>64</v>
      </c>
      <c r="C9" s="2">
        <v>36</v>
      </c>
      <c r="D9" s="2">
        <v>16</v>
      </c>
      <c r="E9" s="2">
        <v>5</v>
      </c>
      <c r="F9" s="2">
        <v>42</v>
      </c>
      <c r="G9" s="27">
        <v>22</v>
      </c>
      <c r="H9" s="34">
        <f t="shared" si="0"/>
        <v>185</v>
      </c>
      <c r="I9" s="4">
        <v>1</v>
      </c>
      <c r="J9" s="19">
        <f t="shared" si="1"/>
        <v>186</v>
      </c>
    </row>
    <row r="10" spans="1:10" x14ac:dyDescent="0.25">
      <c r="A10" s="18" t="s">
        <v>4</v>
      </c>
      <c r="B10" s="4">
        <v>150</v>
      </c>
      <c r="C10" s="2">
        <v>75</v>
      </c>
      <c r="D10" s="2">
        <v>31</v>
      </c>
      <c r="E10" s="2">
        <v>7</v>
      </c>
      <c r="F10" s="2">
        <v>110</v>
      </c>
      <c r="G10" s="27">
        <v>53</v>
      </c>
      <c r="H10" s="34">
        <f t="shared" si="0"/>
        <v>426</v>
      </c>
      <c r="I10" s="4">
        <v>1</v>
      </c>
      <c r="J10" s="19">
        <f t="shared" si="1"/>
        <v>427</v>
      </c>
    </row>
    <row r="11" spans="1:10" x14ac:dyDescent="0.25">
      <c r="A11" s="18" t="s">
        <v>5</v>
      </c>
      <c r="B11" s="4">
        <v>1500</v>
      </c>
      <c r="C11" s="2">
        <v>1853</v>
      </c>
      <c r="D11" s="2">
        <v>1232</v>
      </c>
      <c r="E11" s="2">
        <v>310</v>
      </c>
      <c r="F11" s="2">
        <v>1010</v>
      </c>
      <c r="G11" s="27">
        <v>1082</v>
      </c>
      <c r="H11" s="34">
        <f t="shared" si="0"/>
        <v>6987</v>
      </c>
      <c r="I11" s="4">
        <v>41</v>
      </c>
      <c r="J11" s="19">
        <f t="shared" si="1"/>
        <v>7028</v>
      </c>
    </row>
    <row r="12" spans="1:10" x14ac:dyDescent="0.25">
      <c r="A12" s="18" t="s">
        <v>6</v>
      </c>
      <c r="B12" s="4">
        <v>3677</v>
      </c>
      <c r="C12" s="2">
        <v>5442</v>
      </c>
      <c r="D12" s="2">
        <v>3105</v>
      </c>
      <c r="E12" s="2">
        <v>826</v>
      </c>
      <c r="F12" s="2">
        <v>3948</v>
      </c>
      <c r="G12" s="27">
        <v>4072</v>
      </c>
      <c r="H12" s="34">
        <f t="shared" si="0"/>
        <v>21070</v>
      </c>
      <c r="I12" s="4">
        <v>153</v>
      </c>
      <c r="J12" s="19">
        <f t="shared" si="1"/>
        <v>21223</v>
      </c>
    </row>
    <row r="13" spans="1:10" x14ac:dyDescent="0.25">
      <c r="A13" s="18" t="s">
        <v>7</v>
      </c>
      <c r="B13" s="4">
        <v>6725</v>
      </c>
      <c r="C13" s="2">
        <v>6882</v>
      </c>
      <c r="D13" s="2">
        <v>4584</v>
      </c>
      <c r="E13" s="2">
        <v>1102</v>
      </c>
      <c r="F13" s="2">
        <v>4207</v>
      </c>
      <c r="G13" s="27">
        <v>4813</v>
      </c>
      <c r="H13" s="34">
        <f t="shared" si="0"/>
        <v>28313</v>
      </c>
      <c r="I13" s="4">
        <v>299</v>
      </c>
      <c r="J13" s="19">
        <f t="shared" si="1"/>
        <v>28612</v>
      </c>
    </row>
    <row r="14" spans="1:10" x14ac:dyDescent="0.25">
      <c r="A14" s="18" t="s">
        <v>8</v>
      </c>
      <c r="B14" s="4">
        <v>10674</v>
      </c>
      <c r="C14" s="2">
        <v>10503</v>
      </c>
      <c r="D14" s="2">
        <v>3967</v>
      </c>
      <c r="E14" s="2">
        <v>1195</v>
      </c>
      <c r="F14" s="2">
        <v>3436</v>
      </c>
      <c r="G14" s="27">
        <v>2889</v>
      </c>
      <c r="H14" s="34">
        <f t="shared" si="0"/>
        <v>32664</v>
      </c>
      <c r="I14" s="4">
        <v>427</v>
      </c>
      <c r="J14" s="19">
        <f t="shared" si="1"/>
        <v>33091</v>
      </c>
    </row>
    <row r="15" spans="1:10" x14ac:dyDescent="0.25">
      <c r="A15" s="18" t="s">
        <v>9</v>
      </c>
      <c r="B15" s="4">
        <v>8394</v>
      </c>
      <c r="C15" s="2">
        <v>5122</v>
      </c>
      <c r="D15" s="2">
        <v>872</v>
      </c>
      <c r="E15" s="2">
        <v>248</v>
      </c>
      <c r="F15" s="2">
        <v>1157</v>
      </c>
      <c r="G15" s="27">
        <v>499</v>
      </c>
      <c r="H15" s="34">
        <f t="shared" si="0"/>
        <v>16292</v>
      </c>
      <c r="I15" s="4">
        <v>81</v>
      </c>
      <c r="J15" s="19">
        <f t="shared" si="1"/>
        <v>16373</v>
      </c>
    </row>
    <row r="16" spans="1:10" x14ac:dyDescent="0.25">
      <c r="A16" s="18" t="s">
        <v>10</v>
      </c>
      <c r="B16" s="4">
        <v>5468</v>
      </c>
      <c r="C16" s="2">
        <v>2499</v>
      </c>
      <c r="D16" s="2">
        <v>580</v>
      </c>
      <c r="E16" s="2">
        <v>287</v>
      </c>
      <c r="F16" s="2">
        <v>1161</v>
      </c>
      <c r="G16" s="27">
        <v>408</v>
      </c>
      <c r="H16" s="34">
        <f t="shared" si="0"/>
        <v>10403</v>
      </c>
      <c r="I16" s="4">
        <v>59</v>
      </c>
      <c r="J16" s="19">
        <f t="shared" si="1"/>
        <v>10462</v>
      </c>
    </row>
    <row r="17" spans="1:10" x14ac:dyDescent="0.25">
      <c r="A17" s="18" t="s">
        <v>11</v>
      </c>
      <c r="B17" s="4">
        <v>381</v>
      </c>
      <c r="C17" s="2">
        <v>96</v>
      </c>
      <c r="D17" s="2">
        <v>2</v>
      </c>
      <c r="E17" s="2">
        <v>12</v>
      </c>
      <c r="F17" s="2">
        <v>0</v>
      </c>
      <c r="G17" s="27">
        <v>0</v>
      </c>
      <c r="H17" s="34">
        <f t="shared" si="0"/>
        <v>491</v>
      </c>
      <c r="I17" s="4">
        <v>0</v>
      </c>
      <c r="J17" s="19">
        <f t="shared" si="1"/>
        <v>491</v>
      </c>
    </row>
    <row r="18" spans="1:10" x14ac:dyDescent="0.25">
      <c r="A18" s="18" t="s">
        <v>12</v>
      </c>
      <c r="B18" s="4">
        <v>1484</v>
      </c>
      <c r="C18" s="2">
        <v>562</v>
      </c>
      <c r="D18" s="2">
        <v>13</v>
      </c>
      <c r="E18" s="2">
        <v>48</v>
      </c>
      <c r="F18" s="2">
        <v>0</v>
      </c>
      <c r="G18" s="27">
        <v>0</v>
      </c>
      <c r="H18" s="34">
        <f t="shared" si="0"/>
        <v>2107</v>
      </c>
      <c r="I18" s="4">
        <v>18</v>
      </c>
      <c r="J18" s="19">
        <f t="shared" si="1"/>
        <v>2125</v>
      </c>
    </row>
    <row r="19" spans="1:10" x14ac:dyDescent="0.25">
      <c r="A19" s="18" t="s">
        <v>13</v>
      </c>
      <c r="B19" s="4">
        <v>2060</v>
      </c>
      <c r="C19" s="2">
        <v>792</v>
      </c>
      <c r="D19" s="2">
        <v>36</v>
      </c>
      <c r="E19" s="2">
        <v>74</v>
      </c>
      <c r="F19" s="2">
        <v>0</v>
      </c>
      <c r="G19" s="27">
        <v>0</v>
      </c>
      <c r="H19" s="34">
        <f t="shared" si="0"/>
        <v>2962</v>
      </c>
      <c r="I19" s="4">
        <v>55</v>
      </c>
      <c r="J19" s="19">
        <f t="shared" si="1"/>
        <v>3017</v>
      </c>
    </row>
    <row r="20" spans="1:10" x14ac:dyDescent="0.25">
      <c r="A20" s="18" t="s">
        <v>14</v>
      </c>
      <c r="B20" s="4">
        <v>3499</v>
      </c>
      <c r="C20" s="2">
        <v>1446</v>
      </c>
      <c r="D20" s="2">
        <v>38</v>
      </c>
      <c r="E20" s="2">
        <v>107</v>
      </c>
      <c r="F20" s="2">
        <v>0</v>
      </c>
      <c r="G20" s="27">
        <v>0</v>
      </c>
      <c r="H20" s="34">
        <f t="shared" si="0"/>
        <v>5090</v>
      </c>
      <c r="I20" s="4">
        <v>57</v>
      </c>
      <c r="J20" s="19">
        <f t="shared" si="1"/>
        <v>5147</v>
      </c>
    </row>
    <row r="21" spans="1:10" x14ac:dyDescent="0.25">
      <c r="A21" s="18" t="s">
        <v>15</v>
      </c>
      <c r="B21" s="4">
        <v>1129</v>
      </c>
      <c r="C21" s="2">
        <v>395</v>
      </c>
      <c r="D21" s="2">
        <v>0</v>
      </c>
      <c r="E21" s="2">
        <v>13</v>
      </c>
      <c r="F21" s="2">
        <v>0</v>
      </c>
      <c r="G21" s="27">
        <v>0</v>
      </c>
      <c r="H21" s="34">
        <f t="shared" si="0"/>
        <v>1537</v>
      </c>
      <c r="I21" s="4">
        <v>0</v>
      </c>
      <c r="J21" s="19">
        <f t="shared" si="1"/>
        <v>1537</v>
      </c>
    </row>
    <row r="22" spans="1:10" x14ac:dyDescent="0.25">
      <c r="A22" s="18" t="s">
        <v>59</v>
      </c>
      <c r="B22" s="7">
        <v>0</v>
      </c>
      <c r="C22" s="8">
        <v>0</v>
      </c>
      <c r="D22" s="8">
        <v>0</v>
      </c>
      <c r="E22" s="8">
        <v>0</v>
      </c>
      <c r="F22" s="8">
        <v>0</v>
      </c>
      <c r="G22" s="28">
        <v>0</v>
      </c>
      <c r="H22" s="36">
        <v>0</v>
      </c>
      <c r="I22" s="7">
        <v>0</v>
      </c>
      <c r="J22" s="43">
        <v>0</v>
      </c>
    </row>
    <row r="23" spans="1:10" ht="15.75" thickBot="1" x14ac:dyDescent="0.3">
      <c r="A23" s="20"/>
      <c r="B23" s="7"/>
      <c r="C23" s="8"/>
      <c r="D23" s="8"/>
      <c r="E23" s="8"/>
      <c r="F23" s="8"/>
      <c r="G23" s="28"/>
      <c r="H23" s="35"/>
      <c r="I23" s="7" t="s">
        <v>29</v>
      </c>
      <c r="J23" s="21"/>
    </row>
    <row r="24" spans="1:10" ht="24.95" customHeight="1" thickBot="1" x14ac:dyDescent="0.3">
      <c r="A24" s="22" t="s">
        <v>16</v>
      </c>
      <c r="B24" s="37">
        <f>SUM(B7:B22)</f>
        <v>45206</v>
      </c>
      <c r="C24" s="37">
        <f t="shared" ref="C24:J24" si="2">SUM(C7:C22)</f>
        <v>35703</v>
      </c>
      <c r="D24" s="37">
        <f t="shared" si="2"/>
        <v>14476</v>
      </c>
      <c r="E24" s="37">
        <f t="shared" si="2"/>
        <v>4234</v>
      </c>
      <c r="F24" s="37">
        <f t="shared" si="2"/>
        <v>15075</v>
      </c>
      <c r="G24" s="38">
        <f t="shared" si="2"/>
        <v>13838</v>
      </c>
      <c r="H24" s="31">
        <f t="shared" si="2"/>
        <v>128532</v>
      </c>
      <c r="I24" s="37">
        <f t="shared" si="2"/>
        <v>1192</v>
      </c>
      <c r="J24" s="39">
        <f t="shared" si="2"/>
        <v>129724</v>
      </c>
    </row>
    <row r="25" spans="1:10" x14ac:dyDescent="0.25">
      <c r="A25" s="18" t="s">
        <v>17</v>
      </c>
      <c r="B25" s="5">
        <v>2057</v>
      </c>
      <c r="C25" s="6">
        <v>1562</v>
      </c>
      <c r="D25" s="6">
        <v>359</v>
      </c>
      <c r="E25" s="6">
        <v>173</v>
      </c>
      <c r="F25" s="6">
        <v>1869</v>
      </c>
      <c r="G25" s="26">
        <v>978</v>
      </c>
      <c r="H25" s="34">
        <f>SUM(B25:G25)</f>
        <v>6998</v>
      </c>
      <c r="I25" s="5">
        <v>69</v>
      </c>
      <c r="J25" s="23">
        <f>H25+I25</f>
        <v>7067</v>
      </c>
    </row>
    <row r="26" spans="1:10" x14ac:dyDescent="0.25">
      <c r="A26" s="18" t="s">
        <v>18</v>
      </c>
      <c r="B26" s="4">
        <v>7424</v>
      </c>
      <c r="C26" s="2">
        <v>5559</v>
      </c>
      <c r="D26" s="2">
        <v>936</v>
      </c>
      <c r="E26" s="2">
        <v>538</v>
      </c>
      <c r="F26" s="2">
        <v>4479</v>
      </c>
      <c r="G26" s="27">
        <v>2984</v>
      </c>
      <c r="H26" s="34">
        <f t="shared" ref="H26:H33" si="3">SUM(B26:G26)</f>
        <v>21920</v>
      </c>
      <c r="I26" s="4">
        <v>117</v>
      </c>
      <c r="J26" s="23">
        <f t="shared" ref="J26:J33" si="4">H26+I26</f>
        <v>22037</v>
      </c>
    </row>
    <row r="27" spans="1:10" x14ac:dyDescent="0.25">
      <c r="A27" s="18" t="s">
        <v>19</v>
      </c>
      <c r="B27" s="4">
        <v>21727</v>
      </c>
      <c r="C27" s="2">
        <v>15766</v>
      </c>
      <c r="D27" s="2">
        <v>3700</v>
      </c>
      <c r="E27" s="2">
        <v>1063</v>
      </c>
      <c r="F27" s="2">
        <v>14915</v>
      </c>
      <c r="G27" s="27">
        <v>8493</v>
      </c>
      <c r="H27" s="34">
        <f t="shared" si="3"/>
        <v>65664</v>
      </c>
      <c r="I27" s="4">
        <v>683</v>
      </c>
      <c r="J27" s="23">
        <f t="shared" si="4"/>
        <v>66347</v>
      </c>
    </row>
    <row r="28" spans="1:10" x14ac:dyDescent="0.25">
      <c r="A28" s="18" t="s">
        <v>20</v>
      </c>
      <c r="B28" s="4">
        <v>40197</v>
      </c>
      <c r="C28" s="2">
        <v>19673</v>
      </c>
      <c r="D28" s="2">
        <v>10677</v>
      </c>
      <c r="E28" s="2">
        <v>2244</v>
      </c>
      <c r="F28" s="2">
        <v>18608</v>
      </c>
      <c r="G28" s="27">
        <v>12294</v>
      </c>
      <c r="H28" s="34">
        <f t="shared" si="3"/>
        <v>103693</v>
      </c>
      <c r="I28" s="4">
        <v>1314</v>
      </c>
      <c r="J28" s="23">
        <f t="shared" si="4"/>
        <v>105007</v>
      </c>
    </row>
    <row r="29" spans="1:10" x14ac:dyDescent="0.25">
      <c r="A29" s="18" t="s">
        <v>21</v>
      </c>
      <c r="B29" s="4">
        <v>63777</v>
      </c>
      <c r="C29" s="2">
        <v>28353</v>
      </c>
      <c r="D29" s="2">
        <v>13568</v>
      </c>
      <c r="E29" s="2">
        <v>4727</v>
      </c>
      <c r="F29" s="2">
        <v>18760</v>
      </c>
      <c r="G29" s="27">
        <v>9732</v>
      </c>
      <c r="H29" s="34">
        <f t="shared" si="3"/>
        <v>138917</v>
      </c>
      <c r="I29" s="4">
        <v>1747</v>
      </c>
      <c r="J29" s="23">
        <f t="shared" si="4"/>
        <v>140664</v>
      </c>
    </row>
    <row r="30" spans="1:10" x14ac:dyDescent="0.25">
      <c r="A30" s="18" t="s">
        <v>22</v>
      </c>
      <c r="B30" s="4">
        <v>90302</v>
      </c>
      <c r="C30" s="2">
        <v>58158</v>
      </c>
      <c r="D30" s="2">
        <v>7819</v>
      </c>
      <c r="E30" s="2">
        <v>6405</v>
      </c>
      <c r="F30" s="2">
        <v>16288</v>
      </c>
      <c r="G30" s="27">
        <v>15894</v>
      </c>
      <c r="H30" s="34">
        <f t="shared" si="3"/>
        <v>194866</v>
      </c>
      <c r="I30" s="4">
        <v>2103</v>
      </c>
      <c r="J30" s="23">
        <f t="shared" si="4"/>
        <v>196969</v>
      </c>
    </row>
    <row r="31" spans="1:10" x14ac:dyDescent="0.25">
      <c r="A31" s="18" t="s">
        <v>23</v>
      </c>
      <c r="B31" s="4">
        <v>39322</v>
      </c>
      <c r="C31" s="2">
        <v>17114</v>
      </c>
      <c r="D31" s="2">
        <v>4824</v>
      </c>
      <c r="E31" s="2">
        <v>14503</v>
      </c>
      <c r="F31" s="2">
        <v>14256</v>
      </c>
      <c r="G31" s="27">
        <v>3464</v>
      </c>
      <c r="H31" s="34">
        <f t="shared" si="3"/>
        <v>93483</v>
      </c>
      <c r="I31" s="4">
        <v>178</v>
      </c>
      <c r="J31" s="23">
        <f t="shared" si="4"/>
        <v>93661</v>
      </c>
    </row>
    <row r="32" spans="1:10" x14ac:dyDescent="0.25">
      <c r="A32" s="18" t="s">
        <v>24</v>
      </c>
      <c r="B32" s="4">
        <v>21775</v>
      </c>
      <c r="C32" s="2">
        <v>7962</v>
      </c>
      <c r="D32" s="2">
        <v>1302</v>
      </c>
      <c r="E32" s="2">
        <v>3755</v>
      </c>
      <c r="F32" s="2">
        <v>364</v>
      </c>
      <c r="G32" s="27">
        <v>993</v>
      </c>
      <c r="H32" s="34">
        <f t="shared" si="3"/>
        <v>36151</v>
      </c>
      <c r="I32" s="4">
        <v>14</v>
      </c>
      <c r="J32" s="23">
        <f t="shared" si="4"/>
        <v>36165</v>
      </c>
    </row>
    <row r="33" spans="1:10" x14ac:dyDescent="0.25">
      <c r="A33" s="18" t="s">
        <v>25</v>
      </c>
      <c r="B33" s="2">
        <v>17592</v>
      </c>
      <c r="C33" s="2">
        <v>8147</v>
      </c>
      <c r="D33" s="2">
        <v>771</v>
      </c>
      <c r="E33" s="2">
        <v>1328</v>
      </c>
      <c r="F33" s="2">
        <v>724</v>
      </c>
      <c r="G33" s="27">
        <v>748</v>
      </c>
      <c r="H33" s="34">
        <f t="shared" si="3"/>
        <v>29310</v>
      </c>
      <c r="I33" s="4">
        <v>0</v>
      </c>
      <c r="J33" s="23">
        <f t="shared" si="4"/>
        <v>29310</v>
      </c>
    </row>
    <row r="34" spans="1:10" s="3" customFormat="1" ht="15.75" customHeight="1" x14ac:dyDescent="0.25">
      <c r="A34" s="18" t="s">
        <v>60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7">
        <v>0</v>
      </c>
      <c r="H34" s="34">
        <f>SUM(B34:G34)</f>
        <v>0</v>
      </c>
      <c r="I34" s="4">
        <v>0</v>
      </c>
      <c r="J34" s="23">
        <f>H34+I34</f>
        <v>0</v>
      </c>
    </row>
    <row r="35" spans="1:10" ht="15.75" customHeight="1" thickBot="1" x14ac:dyDescent="0.3">
      <c r="A35" s="18"/>
      <c r="B35" s="9"/>
      <c r="C35" s="10"/>
      <c r="D35" s="10"/>
      <c r="E35" s="10"/>
      <c r="F35" s="10"/>
      <c r="G35" s="29"/>
      <c r="H35" s="36"/>
      <c r="I35" s="9" t="s">
        <v>29</v>
      </c>
      <c r="J35" s="24" t="s">
        <v>29</v>
      </c>
    </row>
    <row r="36" spans="1:10" ht="15.75" thickBot="1" x14ac:dyDescent="0.3">
      <c r="A36" s="22" t="s">
        <v>26</v>
      </c>
      <c r="B36" s="37">
        <f>SUM(B25:B34)</f>
        <v>304173</v>
      </c>
      <c r="C36" s="37">
        <f t="shared" ref="C36:J36" si="5">SUM(C25:C34)</f>
        <v>162294</v>
      </c>
      <c r="D36" s="37">
        <f t="shared" si="5"/>
        <v>43956</v>
      </c>
      <c r="E36" s="37">
        <f t="shared" si="5"/>
        <v>34736</v>
      </c>
      <c r="F36" s="37">
        <f t="shared" si="5"/>
        <v>90263</v>
      </c>
      <c r="G36" s="38">
        <f t="shared" si="5"/>
        <v>55580</v>
      </c>
      <c r="H36" s="68">
        <f t="shared" si="5"/>
        <v>691002</v>
      </c>
      <c r="I36" s="37">
        <f t="shared" si="5"/>
        <v>6225</v>
      </c>
      <c r="J36" s="66">
        <f t="shared" si="5"/>
        <v>697227</v>
      </c>
    </row>
    <row r="37" spans="1:10" ht="16.5" thickTop="1" thickBot="1" x14ac:dyDescent="0.3">
      <c r="A37" s="11" t="s">
        <v>27</v>
      </c>
      <c r="B37" s="40">
        <f>SUM(B24,B36)</f>
        <v>349379</v>
      </c>
      <c r="C37" s="40">
        <f>SUM(C24,C36)</f>
        <v>197997</v>
      </c>
      <c r="D37" s="40">
        <f>SUM(D24,D36)</f>
        <v>58432</v>
      </c>
      <c r="E37" s="40">
        <f>SUM(E24,E36)</f>
        <v>38970</v>
      </c>
      <c r="F37" s="40">
        <f>SUM(F24,F36)</f>
        <v>105338</v>
      </c>
      <c r="G37" s="41">
        <f>SUM(G24,G36)</f>
        <v>69418</v>
      </c>
      <c r="H37" s="67">
        <f>SUM(H24,H36)</f>
        <v>819534</v>
      </c>
      <c r="I37" s="40">
        <f>SUM(I24,I36)</f>
        <v>7417</v>
      </c>
      <c r="J37" s="42">
        <f>SUM(J24,J36)</f>
        <v>826951</v>
      </c>
    </row>
    <row r="38" spans="1:10" ht="15.75" thickTop="1" x14ac:dyDescent="0.25">
      <c r="B38" s="12"/>
    </row>
    <row r="39" spans="1:10" x14ac:dyDescent="0.25">
      <c r="A39" s="1" t="s">
        <v>57</v>
      </c>
    </row>
    <row r="40" spans="1:10" x14ac:dyDescent="0.25">
      <c r="I40" s="3"/>
      <c r="J40" s="3"/>
    </row>
    <row r="41" spans="1:10" x14ac:dyDescent="0.25">
      <c r="I41" s="3"/>
      <c r="J41" s="3"/>
    </row>
  </sheetData>
  <mergeCells count="5">
    <mergeCell ref="A1:J1"/>
    <mergeCell ref="A2:J2"/>
    <mergeCell ref="A3:J3"/>
    <mergeCell ref="A4:J4"/>
    <mergeCell ref="A5:J5"/>
  </mergeCells>
  <printOptions horizontalCentered="1"/>
  <pageMargins left="0.7" right="0.7" top="0.75" bottom="0.75" header="0.3" footer="0.3"/>
  <pageSetup scale="6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1"/>
  <sheetViews>
    <sheetView topLeftCell="A7" workbookViewId="0">
      <selection activeCell="A3" sqref="A3:J3"/>
    </sheetView>
  </sheetViews>
  <sheetFormatPr defaultRowHeight="15" x14ac:dyDescent="0.25"/>
  <cols>
    <col min="1" max="1" width="40.85546875" style="1" bestFit="1" customWidth="1"/>
    <col min="2" max="10" width="15.7109375" customWidth="1"/>
  </cols>
  <sheetData>
    <row r="1" spans="1:10" ht="19.5" thickTop="1" x14ac:dyDescent="0.3">
      <c r="A1" s="48" t="s">
        <v>28</v>
      </c>
      <c r="B1" s="49"/>
      <c r="C1" s="49"/>
      <c r="D1" s="49"/>
      <c r="E1" s="49"/>
      <c r="F1" s="49"/>
      <c r="G1" s="49"/>
      <c r="H1" s="49"/>
      <c r="I1" s="49"/>
      <c r="J1" s="50"/>
    </row>
    <row r="2" spans="1:10" ht="18.75" x14ac:dyDescent="0.3">
      <c r="A2" s="51" t="s">
        <v>30</v>
      </c>
      <c r="B2" s="52"/>
      <c r="C2" s="52"/>
      <c r="D2" s="52"/>
      <c r="E2" s="52"/>
      <c r="F2" s="52"/>
      <c r="G2" s="52"/>
      <c r="H2" s="52"/>
      <c r="I2" s="52"/>
      <c r="J2" s="53"/>
    </row>
    <row r="3" spans="1:10" ht="18.75" x14ac:dyDescent="0.3">
      <c r="A3" s="54" t="s">
        <v>49</v>
      </c>
      <c r="B3" s="55"/>
      <c r="C3" s="55"/>
      <c r="D3" s="55"/>
      <c r="E3" s="55"/>
      <c r="F3" s="55"/>
      <c r="G3" s="55"/>
      <c r="H3" s="55"/>
      <c r="I3" s="55"/>
      <c r="J3" s="56"/>
    </row>
    <row r="4" spans="1:10" ht="19.5" thickBot="1" x14ac:dyDescent="0.35">
      <c r="A4" s="57"/>
      <c r="B4" s="58"/>
      <c r="C4" s="58"/>
      <c r="D4" s="58"/>
      <c r="E4" s="58"/>
      <c r="F4" s="58"/>
      <c r="G4" s="58"/>
      <c r="H4" s="58"/>
      <c r="I4" s="58"/>
      <c r="J4" s="59"/>
    </row>
    <row r="5" spans="1:10" ht="15.75" thickBot="1" x14ac:dyDescent="0.3">
      <c r="A5" s="60"/>
      <c r="B5" s="61"/>
      <c r="C5" s="61"/>
      <c r="D5" s="61"/>
      <c r="E5" s="61"/>
      <c r="F5" s="61"/>
      <c r="G5" s="61"/>
      <c r="H5" s="61"/>
      <c r="I5" s="61"/>
      <c r="J5" s="62"/>
    </row>
    <row r="6" spans="1:10" s="13" customFormat="1" ht="30.75" thickBot="1" x14ac:dyDescent="0.3">
      <c r="A6" s="16" t="s">
        <v>0</v>
      </c>
      <c r="B6" s="14" t="s">
        <v>31</v>
      </c>
      <c r="C6" s="15" t="s">
        <v>32</v>
      </c>
      <c r="D6" s="15" t="s">
        <v>33</v>
      </c>
      <c r="E6" s="15" t="s">
        <v>34</v>
      </c>
      <c r="F6" s="15" t="s">
        <v>35</v>
      </c>
      <c r="G6" s="25" t="s">
        <v>36</v>
      </c>
      <c r="H6" s="33" t="s">
        <v>37</v>
      </c>
      <c r="I6" s="30" t="s">
        <v>41</v>
      </c>
      <c r="J6" s="17" t="s">
        <v>39</v>
      </c>
    </row>
    <row r="7" spans="1:10" ht="15.75" thickTop="1" x14ac:dyDescent="0.25">
      <c r="A7" s="18" t="s">
        <v>1</v>
      </c>
      <c r="B7" s="5">
        <v>1</v>
      </c>
      <c r="C7" s="6">
        <v>0</v>
      </c>
      <c r="D7" s="6">
        <v>0</v>
      </c>
      <c r="E7" s="6">
        <v>0</v>
      </c>
      <c r="F7" s="6">
        <v>0</v>
      </c>
      <c r="G7" s="26">
        <v>0</v>
      </c>
      <c r="H7" s="34">
        <f>SUM(B7:G7)</f>
        <v>1</v>
      </c>
      <c r="I7" s="5">
        <v>0</v>
      </c>
      <c r="J7" s="19">
        <f>SUM(H7,I7)</f>
        <v>1</v>
      </c>
    </row>
    <row r="8" spans="1:10" x14ac:dyDescent="0.25">
      <c r="A8" s="18" t="s">
        <v>2</v>
      </c>
      <c r="B8" s="4">
        <v>0</v>
      </c>
      <c r="C8" s="2">
        <v>0</v>
      </c>
      <c r="D8" s="2">
        <v>0</v>
      </c>
      <c r="E8" s="2">
        <v>0</v>
      </c>
      <c r="F8" s="2">
        <v>4</v>
      </c>
      <c r="G8" s="27">
        <v>0</v>
      </c>
      <c r="H8" s="34">
        <f t="shared" ref="H8:H21" si="0">SUM(B8:G8)</f>
        <v>4</v>
      </c>
      <c r="I8" s="4">
        <v>0</v>
      </c>
      <c r="J8" s="19">
        <f t="shared" ref="J8:J21" si="1">SUM(H8,I8)</f>
        <v>4</v>
      </c>
    </row>
    <row r="9" spans="1:10" x14ac:dyDescent="0.25">
      <c r="A9" s="18" t="s">
        <v>3</v>
      </c>
      <c r="B9" s="4">
        <v>65</v>
      </c>
      <c r="C9" s="2">
        <v>36</v>
      </c>
      <c r="D9" s="2">
        <v>15</v>
      </c>
      <c r="E9" s="2">
        <v>5</v>
      </c>
      <c r="F9" s="2">
        <v>42</v>
      </c>
      <c r="G9" s="27">
        <v>22</v>
      </c>
      <c r="H9" s="34">
        <f t="shared" si="0"/>
        <v>185</v>
      </c>
      <c r="I9" s="4">
        <v>1</v>
      </c>
      <c r="J9" s="19">
        <f t="shared" si="1"/>
        <v>186</v>
      </c>
    </row>
    <row r="10" spans="1:10" x14ac:dyDescent="0.25">
      <c r="A10" s="18" t="s">
        <v>4</v>
      </c>
      <c r="B10" s="4">
        <v>148</v>
      </c>
      <c r="C10" s="2">
        <v>75</v>
      </c>
      <c r="D10" s="2">
        <v>30</v>
      </c>
      <c r="E10" s="2">
        <v>7</v>
      </c>
      <c r="F10" s="2">
        <v>110</v>
      </c>
      <c r="G10" s="27">
        <v>51</v>
      </c>
      <c r="H10" s="34">
        <f t="shared" si="0"/>
        <v>421</v>
      </c>
      <c r="I10" s="4">
        <v>1</v>
      </c>
      <c r="J10" s="19">
        <f t="shared" si="1"/>
        <v>422</v>
      </c>
    </row>
    <row r="11" spans="1:10" x14ac:dyDescent="0.25">
      <c r="A11" s="18" t="s">
        <v>5</v>
      </c>
      <c r="B11" s="4">
        <v>1500</v>
      </c>
      <c r="C11" s="2">
        <v>1862</v>
      </c>
      <c r="D11" s="2">
        <v>1237</v>
      </c>
      <c r="E11" s="2">
        <v>314</v>
      </c>
      <c r="F11" s="2">
        <v>1005</v>
      </c>
      <c r="G11" s="27">
        <v>1076</v>
      </c>
      <c r="H11" s="34">
        <f t="shared" si="0"/>
        <v>6994</v>
      </c>
      <c r="I11" s="4">
        <v>41</v>
      </c>
      <c r="J11" s="19">
        <f t="shared" si="1"/>
        <v>7035</v>
      </c>
    </row>
    <row r="12" spans="1:10" x14ac:dyDescent="0.25">
      <c r="A12" s="18" t="s">
        <v>6</v>
      </c>
      <c r="B12" s="4">
        <v>3691</v>
      </c>
      <c r="C12" s="2">
        <v>5409</v>
      </c>
      <c r="D12" s="2">
        <v>3102</v>
      </c>
      <c r="E12" s="2">
        <v>829</v>
      </c>
      <c r="F12" s="2">
        <v>3916</v>
      </c>
      <c r="G12" s="27">
        <v>4046</v>
      </c>
      <c r="H12" s="34">
        <f t="shared" si="0"/>
        <v>20993</v>
      </c>
      <c r="I12" s="4">
        <v>153</v>
      </c>
      <c r="J12" s="19">
        <f t="shared" si="1"/>
        <v>21146</v>
      </c>
    </row>
    <row r="13" spans="1:10" x14ac:dyDescent="0.25">
      <c r="A13" s="18" t="s">
        <v>7</v>
      </c>
      <c r="B13" s="4">
        <v>6680</v>
      </c>
      <c r="C13" s="2">
        <v>6907</v>
      </c>
      <c r="D13" s="2">
        <v>4589</v>
      </c>
      <c r="E13" s="2">
        <v>1106</v>
      </c>
      <c r="F13" s="2">
        <v>4212</v>
      </c>
      <c r="G13" s="27">
        <v>4828</v>
      </c>
      <c r="H13" s="34">
        <f t="shared" si="0"/>
        <v>28322</v>
      </c>
      <c r="I13" s="4">
        <v>299</v>
      </c>
      <c r="J13" s="19">
        <f t="shared" si="1"/>
        <v>28621</v>
      </c>
    </row>
    <row r="14" spans="1:10" x14ac:dyDescent="0.25">
      <c r="A14" s="18" t="s">
        <v>8</v>
      </c>
      <c r="B14" s="4">
        <v>10608</v>
      </c>
      <c r="C14" s="2">
        <v>10496</v>
      </c>
      <c r="D14" s="2">
        <v>4060</v>
      </c>
      <c r="E14" s="2">
        <v>1188</v>
      </c>
      <c r="F14" s="2">
        <v>3434</v>
      </c>
      <c r="G14" s="27">
        <v>2915</v>
      </c>
      <c r="H14" s="34">
        <f t="shared" si="0"/>
        <v>32701</v>
      </c>
      <c r="I14" s="4">
        <v>427</v>
      </c>
      <c r="J14" s="19">
        <f t="shared" si="1"/>
        <v>33128</v>
      </c>
    </row>
    <row r="15" spans="1:10" x14ac:dyDescent="0.25">
      <c r="A15" s="18" t="s">
        <v>9</v>
      </c>
      <c r="B15" s="4">
        <v>9096</v>
      </c>
      <c r="C15" s="2">
        <v>5191</v>
      </c>
      <c r="D15" s="2">
        <v>883</v>
      </c>
      <c r="E15" s="2">
        <v>243</v>
      </c>
      <c r="F15" s="2">
        <v>1164</v>
      </c>
      <c r="G15" s="27">
        <v>514</v>
      </c>
      <c r="H15" s="34">
        <f t="shared" si="0"/>
        <v>17091</v>
      </c>
      <c r="I15" s="4">
        <v>81</v>
      </c>
      <c r="J15" s="19">
        <f t="shared" si="1"/>
        <v>17172</v>
      </c>
    </row>
    <row r="16" spans="1:10" x14ac:dyDescent="0.25">
      <c r="A16" s="18" t="s">
        <v>10</v>
      </c>
      <c r="B16" s="4">
        <v>4799</v>
      </c>
      <c r="C16" s="2">
        <v>2446</v>
      </c>
      <c r="D16" s="2">
        <v>564</v>
      </c>
      <c r="E16" s="2">
        <v>282</v>
      </c>
      <c r="F16" s="2">
        <v>1174</v>
      </c>
      <c r="G16" s="27">
        <v>384</v>
      </c>
      <c r="H16" s="34">
        <f t="shared" si="0"/>
        <v>9649</v>
      </c>
      <c r="I16" s="4">
        <v>59</v>
      </c>
      <c r="J16" s="19">
        <f t="shared" si="1"/>
        <v>9708</v>
      </c>
    </row>
    <row r="17" spans="1:10" x14ac:dyDescent="0.25">
      <c r="A17" s="18" t="s">
        <v>11</v>
      </c>
      <c r="B17" s="4">
        <v>384</v>
      </c>
      <c r="C17" s="2">
        <v>96</v>
      </c>
      <c r="D17" s="2">
        <v>2</v>
      </c>
      <c r="E17" s="2">
        <v>9</v>
      </c>
      <c r="F17" s="2">
        <v>0</v>
      </c>
      <c r="G17" s="27">
        <v>0</v>
      </c>
      <c r="H17" s="34">
        <f t="shared" si="0"/>
        <v>491</v>
      </c>
      <c r="I17" s="4">
        <v>0</v>
      </c>
      <c r="J17" s="19">
        <f t="shared" si="1"/>
        <v>491</v>
      </c>
    </row>
    <row r="18" spans="1:10" x14ac:dyDescent="0.25">
      <c r="A18" s="18" t="s">
        <v>12</v>
      </c>
      <c r="B18" s="4">
        <v>1486</v>
      </c>
      <c r="C18" s="2">
        <v>559</v>
      </c>
      <c r="D18" s="2">
        <v>13</v>
      </c>
      <c r="E18" s="2">
        <v>45</v>
      </c>
      <c r="F18" s="2">
        <v>0</v>
      </c>
      <c r="G18" s="27">
        <v>0</v>
      </c>
      <c r="H18" s="34">
        <f t="shared" si="0"/>
        <v>2103</v>
      </c>
      <c r="I18" s="4">
        <v>18</v>
      </c>
      <c r="J18" s="19">
        <f t="shared" si="1"/>
        <v>2121</v>
      </c>
    </row>
    <row r="19" spans="1:10" x14ac:dyDescent="0.25">
      <c r="A19" s="18" t="s">
        <v>13</v>
      </c>
      <c r="B19" s="4">
        <v>2070</v>
      </c>
      <c r="C19" s="2">
        <v>797</v>
      </c>
      <c r="D19" s="2">
        <v>34</v>
      </c>
      <c r="E19" s="2">
        <v>74</v>
      </c>
      <c r="F19" s="2">
        <v>0</v>
      </c>
      <c r="G19" s="27">
        <v>0</v>
      </c>
      <c r="H19" s="34">
        <f t="shared" si="0"/>
        <v>2975</v>
      </c>
      <c r="I19" s="4">
        <v>55</v>
      </c>
      <c r="J19" s="19">
        <f t="shared" si="1"/>
        <v>3030</v>
      </c>
    </row>
    <row r="20" spans="1:10" x14ac:dyDescent="0.25">
      <c r="A20" s="18" t="s">
        <v>14</v>
      </c>
      <c r="B20" s="4">
        <v>3554</v>
      </c>
      <c r="C20" s="2">
        <v>1450</v>
      </c>
      <c r="D20" s="2">
        <v>39</v>
      </c>
      <c r="E20" s="2">
        <v>106</v>
      </c>
      <c r="F20" s="2">
        <v>0</v>
      </c>
      <c r="G20" s="27">
        <v>0</v>
      </c>
      <c r="H20" s="34">
        <f t="shared" si="0"/>
        <v>5149</v>
      </c>
      <c r="I20" s="4">
        <v>57</v>
      </c>
      <c r="J20" s="19">
        <f t="shared" si="1"/>
        <v>5206</v>
      </c>
    </row>
    <row r="21" spans="1:10" x14ac:dyDescent="0.25">
      <c r="A21" s="18" t="s">
        <v>15</v>
      </c>
      <c r="B21" s="4">
        <v>1068</v>
      </c>
      <c r="C21" s="2">
        <v>405</v>
      </c>
      <c r="D21" s="2">
        <v>0</v>
      </c>
      <c r="E21" s="2">
        <v>27</v>
      </c>
      <c r="F21" s="2">
        <v>0</v>
      </c>
      <c r="G21" s="27">
        <v>0</v>
      </c>
      <c r="H21" s="34">
        <f t="shared" si="0"/>
        <v>1500</v>
      </c>
      <c r="I21" s="4">
        <v>0</v>
      </c>
      <c r="J21" s="19">
        <f t="shared" si="1"/>
        <v>1500</v>
      </c>
    </row>
    <row r="22" spans="1:10" x14ac:dyDescent="0.25">
      <c r="A22" s="18" t="s">
        <v>59</v>
      </c>
      <c r="B22" s="4">
        <v>0</v>
      </c>
      <c r="C22" s="2">
        <v>0</v>
      </c>
      <c r="D22" s="2">
        <v>0</v>
      </c>
      <c r="E22" s="2">
        <v>0</v>
      </c>
      <c r="F22" s="2">
        <v>0</v>
      </c>
      <c r="G22" s="27">
        <v>0</v>
      </c>
      <c r="H22" s="34">
        <f t="shared" ref="H22" si="2">SUM(B22:G22)</f>
        <v>0</v>
      </c>
      <c r="I22" s="4">
        <v>0</v>
      </c>
      <c r="J22" s="19">
        <f t="shared" ref="J22" si="3">SUM(H22,I22)</f>
        <v>0</v>
      </c>
    </row>
    <row r="23" spans="1:10" ht="15.75" thickBot="1" x14ac:dyDescent="0.3">
      <c r="A23" s="20"/>
      <c r="B23" s="7"/>
      <c r="C23" s="8"/>
      <c r="D23" s="8"/>
      <c r="E23" s="8"/>
      <c r="F23" s="8"/>
      <c r="G23" s="28"/>
      <c r="H23" s="35"/>
      <c r="I23" s="7" t="s">
        <v>29</v>
      </c>
      <c r="J23" s="21"/>
    </row>
    <row r="24" spans="1:10" ht="15.75" thickBot="1" x14ac:dyDescent="0.3">
      <c r="A24" s="22" t="s">
        <v>16</v>
      </c>
      <c r="B24" s="37">
        <f>SUM(B7:B22)</f>
        <v>45150</v>
      </c>
      <c r="C24" s="37">
        <f t="shared" ref="C24:J24" si="4">SUM(C7:C22)</f>
        <v>35729</v>
      </c>
      <c r="D24" s="37">
        <f t="shared" si="4"/>
        <v>14568</v>
      </c>
      <c r="E24" s="37">
        <f t="shared" si="4"/>
        <v>4235</v>
      </c>
      <c r="F24" s="37">
        <f t="shared" si="4"/>
        <v>15061</v>
      </c>
      <c r="G24" s="38">
        <f t="shared" si="4"/>
        <v>13836</v>
      </c>
      <c r="H24" s="31">
        <f t="shared" si="4"/>
        <v>128579</v>
      </c>
      <c r="I24" s="37">
        <f t="shared" si="4"/>
        <v>1192</v>
      </c>
      <c r="J24" s="39">
        <f t="shared" si="4"/>
        <v>129771</v>
      </c>
    </row>
    <row r="25" spans="1:10" x14ac:dyDescent="0.25">
      <c r="A25" s="18" t="s">
        <v>17</v>
      </c>
      <c r="B25" s="5">
        <v>2057</v>
      </c>
      <c r="C25" s="6">
        <v>1574</v>
      </c>
      <c r="D25" s="6">
        <v>362</v>
      </c>
      <c r="E25" s="6">
        <v>170</v>
      </c>
      <c r="F25" s="6">
        <v>1869</v>
      </c>
      <c r="G25" s="26">
        <v>980</v>
      </c>
      <c r="H25" s="34">
        <f>SUM(B25:G25)</f>
        <v>7012</v>
      </c>
      <c r="I25" s="5">
        <v>69</v>
      </c>
      <c r="J25" s="23">
        <f>H25+I25</f>
        <v>7081</v>
      </c>
    </row>
    <row r="26" spans="1:10" x14ac:dyDescent="0.25">
      <c r="A26" s="18" t="s">
        <v>18</v>
      </c>
      <c r="B26" s="4">
        <v>7437</v>
      </c>
      <c r="C26" s="2">
        <v>5503</v>
      </c>
      <c r="D26" s="2">
        <v>938</v>
      </c>
      <c r="E26" s="2">
        <v>534</v>
      </c>
      <c r="F26" s="2">
        <v>4503</v>
      </c>
      <c r="G26" s="27">
        <v>2955</v>
      </c>
      <c r="H26" s="34">
        <f t="shared" ref="H26:H34" si="5">SUM(B26:G26)</f>
        <v>21870</v>
      </c>
      <c r="I26" s="4">
        <v>117</v>
      </c>
      <c r="J26" s="23">
        <f t="shared" ref="J26:J34" si="6">H26+I26</f>
        <v>21987</v>
      </c>
    </row>
    <row r="27" spans="1:10" x14ac:dyDescent="0.25">
      <c r="A27" s="18" t="s">
        <v>19</v>
      </c>
      <c r="B27" s="4">
        <v>21731</v>
      </c>
      <c r="C27" s="2">
        <v>15686</v>
      </c>
      <c r="D27" s="2">
        <v>3701</v>
      </c>
      <c r="E27" s="2">
        <v>1058</v>
      </c>
      <c r="F27" s="2">
        <v>14876</v>
      </c>
      <c r="G27" s="27">
        <v>8496</v>
      </c>
      <c r="H27" s="34">
        <f t="shared" si="5"/>
        <v>65548</v>
      </c>
      <c r="I27" s="4">
        <v>683</v>
      </c>
      <c r="J27" s="23">
        <f t="shared" si="6"/>
        <v>66231</v>
      </c>
    </row>
    <row r="28" spans="1:10" x14ac:dyDescent="0.25">
      <c r="A28" s="18" t="s">
        <v>20</v>
      </c>
      <c r="B28" s="4">
        <v>40018</v>
      </c>
      <c r="C28" s="2">
        <v>19697</v>
      </c>
      <c r="D28" s="2">
        <v>10631</v>
      </c>
      <c r="E28" s="2">
        <v>2249</v>
      </c>
      <c r="F28" s="2">
        <v>18548</v>
      </c>
      <c r="G28" s="27">
        <v>12281</v>
      </c>
      <c r="H28" s="34">
        <f t="shared" si="5"/>
        <v>103424</v>
      </c>
      <c r="I28" s="4">
        <v>1314</v>
      </c>
      <c r="J28" s="23">
        <f t="shared" si="6"/>
        <v>104738</v>
      </c>
    </row>
    <row r="29" spans="1:10" x14ac:dyDescent="0.25">
      <c r="A29" s="18" t="s">
        <v>21</v>
      </c>
      <c r="B29" s="4">
        <v>63843</v>
      </c>
      <c r="C29" s="2">
        <v>28401</v>
      </c>
      <c r="D29" s="2">
        <v>13536</v>
      </c>
      <c r="E29" s="2">
        <v>4572</v>
      </c>
      <c r="F29" s="2">
        <v>18695</v>
      </c>
      <c r="G29" s="27">
        <v>9777</v>
      </c>
      <c r="H29" s="34">
        <f t="shared" si="5"/>
        <v>138824</v>
      </c>
      <c r="I29" s="4">
        <v>1747</v>
      </c>
      <c r="J29" s="23">
        <f t="shared" si="6"/>
        <v>140571</v>
      </c>
    </row>
    <row r="30" spans="1:10" x14ac:dyDescent="0.25">
      <c r="A30" s="18" t="s">
        <v>22</v>
      </c>
      <c r="B30" s="4">
        <v>90064</v>
      </c>
      <c r="C30" s="2">
        <v>58570</v>
      </c>
      <c r="D30" s="2">
        <v>7777</v>
      </c>
      <c r="E30" s="2">
        <v>6242</v>
      </c>
      <c r="F30" s="2">
        <v>16225</v>
      </c>
      <c r="G30" s="27">
        <v>15888</v>
      </c>
      <c r="H30" s="34">
        <f t="shared" si="5"/>
        <v>194766</v>
      </c>
      <c r="I30" s="4">
        <v>2103</v>
      </c>
      <c r="J30" s="23">
        <f t="shared" si="6"/>
        <v>196869</v>
      </c>
    </row>
    <row r="31" spans="1:10" x14ac:dyDescent="0.25">
      <c r="A31" s="18" t="s">
        <v>23</v>
      </c>
      <c r="B31" s="4">
        <v>39415</v>
      </c>
      <c r="C31" s="2">
        <v>17004</v>
      </c>
      <c r="D31" s="2">
        <v>4839</v>
      </c>
      <c r="E31" s="2">
        <v>14594</v>
      </c>
      <c r="F31" s="2">
        <v>14127</v>
      </c>
      <c r="G31" s="27">
        <v>3462</v>
      </c>
      <c r="H31" s="34">
        <f t="shared" si="5"/>
        <v>93441</v>
      </c>
      <c r="I31" s="4">
        <v>178</v>
      </c>
      <c r="J31" s="23">
        <f t="shared" si="6"/>
        <v>93619</v>
      </c>
    </row>
    <row r="32" spans="1:10" x14ac:dyDescent="0.25">
      <c r="A32" s="18" t="s">
        <v>24</v>
      </c>
      <c r="B32" s="4">
        <v>21562</v>
      </c>
      <c r="C32" s="2">
        <v>8116</v>
      </c>
      <c r="D32" s="2">
        <v>1293</v>
      </c>
      <c r="E32" s="2">
        <v>3951</v>
      </c>
      <c r="F32" s="2">
        <v>354</v>
      </c>
      <c r="G32" s="27">
        <v>981</v>
      </c>
      <c r="H32" s="34">
        <f t="shared" si="5"/>
        <v>36257</v>
      </c>
      <c r="I32" s="4">
        <v>14</v>
      </c>
      <c r="J32" s="23">
        <f t="shared" si="6"/>
        <v>36271</v>
      </c>
    </row>
    <row r="33" spans="1:10" s="3" customFormat="1" ht="15.75" customHeight="1" x14ac:dyDescent="0.25">
      <c r="A33" s="18" t="s">
        <v>25</v>
      </c>
      <c r="B33" s="2">
        <v>17444</v>
      </c>
      <c r="C33" s="2">
        <v>7632</v>
      </c>
      <c r="D33" s="2">
        <v>800</v>
      </c>
      <c r="E33" s="2">
        <v>1046</v>
      </c>
      <c r="F33" s="2">
        <v>783</v>
      </c>
      <c r="G33" s="27">
        <v>717</v>
      </c>
      <c r="H33" s="34">
        <f t="shared" si="5"/>
        <v>28422</v>
      </c>
      <c r="I33" s="4">
        <v>0</v>
      </c>
      <c r="J33" s="23">
        <f t="shared" si="6"/>
        <v>28422</v>
      </c>
    </row>
    <row r="34" spans="1:10" ht="16.5" customHeight="1" x14ac:dyDescent="0.25">
      <c r="A34" s="18" t="s">
        <v>60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70">
        <v>0</v>
      </c>
      <c r="H34" s="34">
        <f t="shared" si="5"/>
        <v>0</v>
      </c>
      <c r="I34" s="4">
        <v>0</v>
      </c>
      <c r="J34" s="23">
        <f t="shared" si="6"/>
        <v>0</v>
      </c>
    </row>
    <row r="35" spans="1:10" ht="15.75" customHeight="1" thickBot="1" x14ac:dyDescent="0.3">
      <c r="A35" s="18"/>
      <c r="B35" s="9"/>
      <c r="C35" s="9"/>
      <c r="D35" s="9"/>
      <c r="E35" s="9"/>
      <c r="F35" s="9"/>
      <c r="G35" s="69"/>
      <c r="H35" s="71"/>
      <c r="I35" s="9"/>
      <c r="J35" s="24"/>
    </row>
    <row r="36" spans="1:10" ht="15.75" thickBot="1" x14ac:dyDescent="0.3">
      <c r="A36" s="22" t="s">
        <v>26</v>
      </c>
      <c r="B36" s="37">
        <f>SUM(B25:B34)</f>
        <v>303571</v>
      </c>
      <c r="C36" s="37">
        <f t="shared" ref="C36:H36" si="7">SUM(C25:C34)</f>
        <v>162183</v>
      </c>
      <c r="D36" s="37">
        <f t="shared" si="7"/>
        <v>43877</v>
      </c>
      <c r="E36" s="37">
        <f t="shared" si="7"/>
        <v>34416</v>
      </c>
      <c r="F36" s="37">
        <f t="shared" si="7"/>
        <v>89980</v>
      </c>
      <c r="G36" s="37">
        <f t="shared" si="7"/>
        <v>55537</v>
      </c>
      <c r="H36" s="37">
        <f t="shared" si="7"/>
        <v>689564</v>
      </c>
      <c r="I36" s="37">
        <f>SUM(I25:I34)</f>
        <v>6225</v>
      </c>
      <c r="J36" s="39">
        <f>SUM(J25:J34)</f>
        <v>695789</v>
      </c>
    </row>
    <row r="37" spans="1:10" ht="16.5" thickTop="1" thickBot="1" x14ac:dyDescent="0.3">
      <c r="A37" s="11" t="s">
        <v>27</v>
      </c>
      <c r="B37" s="40">
        <f t="shared" ref="B37:I37" si="8">SUM(B24,B36)</f>
        <v>348721</v>
      </c>
      <c r="C37" s="40">
        <f t="shared" si="8"/>
        <v>197912</v>
      </c>
      <c r="D37" s="40">
        <f t="shared" si="8"/>
        <v>58445</v>
      </c>
      <c r="E37" s="40">
        <f t="shared" si="8"/>
        <v>38651</v>
      </c>
      <c r="F37" s="40">
        <f t="shared" si="8"/>
        <v>105041</v>
      </c>
      <c r="G37" s="41">
        <f t="shared" si="8"/>
        <v>69373</v>
      </c>
      <c r="H37" s="32">
        <f t="shared" si="8"/>
        <v>818143</v>
      </c>
      <c r="I37" s="40">
        <f t="shared" si="8"/>
        <v>7417</v>
      </c>
      <c r="J37" s="42">
        <f>SUM(J24,J36)</f>
        <v>825560</v>
      </c>
    </row>
    <row r="38" spans="1:10" ht="15.75" thickTop="1" x14ac:dyDescent="0.25">
      <c r="B38" s="12"/>
    </row>
    <row r="39" spans="1:10" x14ac:dyDescent="0.25">
      <c r="A39" s="1" t="s">
        <v>50</v>
      </c>
    </row>
    <row r="40" spans="1:10" x14ac:dyDescent="0.25">
      <c r="I40" s="3"/>
      <c r="J40" s="3"/>
    </row>
    <row r="41" spans="1:10" x14ac:dyDescent="0.25">
      <c r="I41" s="3"/>
      <c r="J41" s="3"/>
    </row>
  </sheetData>
  <mergeCells count="5">
    <mergeCell ref="A1:J1"/>
    <mergeCell ref="A2:J2"/>
    <mergeCell ref="A3:J3"/>
    <mergeCell ref="A4:J4"/>
    <mergeCell ref="A5:J5"/>
  </mergeCells>
  <printOptions horizontalCentered="1"/>
  <pageMargins left="0.7" right="0.7" top="0.75" bottom="0.75" header="0.3" footer="0.3"/>
  <pageSetup scale="67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1"/>
  <sheetViews>
    <sheetView topLeftCell="A4" workbookViewId="0">
      <selection activeCell="A3" sqref="A3:J3"/>
    </sheetView>
  </sheetViews>
  <sheetFormatPr defaultRowHeight="15" x14ac:dyDescent="0.25"/>
  <cols>
    <col min="1" max="1" width="40.85546875" style="1" bestFit="1" customWidth="1"/>
    <col min="2" max="10" width="15.7109375" customWidth="1"/>
  </cols>
  <sheetData>
    <row r="1" spans="1:10" ht="19.5" thickTop="1" x14ac:dyDescent="0.3">
      <c r="A1" s="48" t="s">
        <v>28</v>
      </c>
      <c r="B1" s="49"/>
      <c r="C1" s="49"/>
      <c r="D1" s="49"/>
      <c r="E1" s="49"/>
      <c r="F1" s="49"/>
      <c r="G1" s="49"/>
      <c r="H1" s="49"/>
      <c r="I1" s="49"/>
      <c r="J1" s="50"/>
    </row>
    <row r="2" spans="1:10" ht="18.75" x14ac:dyDescent="0.3">
      <c r="A2" s="51" t="s">
        <v>30</v>
      </c>
      <c r="B2" s="52"/>
      <c r="C2" s="52"/>
      <c r="D2" s="52"/>
      <c r="E2" s="52"/>
      <c r="F2" s="52"/>
      <c r="G2" s="52"/>
      <c r="H2" s="52"/>
      <c r="I2" s="52"/>
      <c r="J2" s="53"/>
    </row>
    <row r="3" spans="1:10" ht="18.75" x14ac:dyDescent="0.3">
      <c r="A3" s="54" t="s">
        <v>44</v>
      </c>
      <c r="B3" s="55"/>
      <c r="C3" s="55"/>
      <c r="D3" s="55"/>
      <c r="E3" s="55"/>
      <c r="F3" s="55"/>
      <c r="G3" s="55"/>
      <c r="H3" s="55"/>
      <c r="I3" s="55"/>
      <c r="J3" s="56"/>
    </row>
    <row r="4" spans="1:10" ht="19.5" thickBot="1" x14ac:dyDescent="0.35">
      <c r="A4" s="57"/>
      <c r="B4" s="58"/>
      <c r="C4" s="58"/>
      <c r="D4" s="58"/>
      <c r="E4" s="58"/>
      <c r="F4" s="58"/>
      <c r="G4" s="58"/>
      <c r="H4" s="58"/>
      <c r="I4" s="58"/>
      <c r="J4" s="59"/>
    </row>
    <row r="5" spans="1:10" ht="15.75" thickBot="1" x14ac:dyDescent="0.3">
      <c r="A5" s="60"/>
      <c r="B5" s="61"/>
      <c r="C5" s="61"/>
      <c r="D5" s="61"/>
      <c r="E5" s="61"/>
      <c r="F5" s="61"/>
      <c r="G5" s="61"/>
      <c r="H5" s="61"/>
      <c r="I5" s="61"/>
      <c r="J5" s="62"/>
    </row>
    <row r="6" spans="1:10" s="13" customFormat="1" ht="30.75" thickBot="1" x14ac:dyDescent="0.3">
      <c r="A6" s="16" t="s">
        <v>0</v>
      </c>
      <c r="B6" s="14" t="s">
        <v>31</v>
      </c>
      <c r="C6" s="15" t="s">
        <v>32</v>
      </c>
      <c r="D6" s="15" t="s">
        <v>33</v>
      </c>
      <c r="E6" s="15" t="s">
        <v>34</v>
      </c>
      <c r="F6" s="15" t="s">
        <v>35</v>
      </c>
      <c r="G6" s="25" t="s">
        <v>36</v>
      </c>
      <c r="H6" s="33" t="s">
        <v>37</v>
      </c>
      <c r="I6" s="30" t="s">
        <v>41</v>
      </c>
      <c r="J6" s="17" t="s">
        <v>39</v>
      </c>
    </row>
    <row r="7" spans="1:10" ht="15.75" thickTop="1" x14ac:dyDescent="0.25">
      <c r="A7" s="18" t="s">
        <v>1</v>
      </c>
      <c r="B7" s="5">
        <v>1</v>
      </c>
      <c r="C7" s="6">
        <v>0</v>
      </c>
      <c r="D7" s="6">
        <v>0</v>
      </c>
      <c r="E7" s="6">
        <v>0</v>
      </c>
      <c r="F7" s="6">
        <v>0</v>
      </c>
      <c r="G7" s="26">
        <v>0</v>
      </c>
      <c r="H7" s="34">
        <f>SUM(B7:G7)</f>
        <v>1</v>
      </c>
      <c r="I7" s="5">
        <v>0</v>
      </c>
      <c r="J7" s="19">
        <f>SUM(H7,I7)</f>
        <v>1</v>
      </c>
    </row>
    <row r="8" spans="1:10" x14ac:dyDescent="0.25">
      <c r="A8" s="18" t="s">
        <v>2</v>
      </c>
      <c r="B8" s="4">
        <v>1</v>
      </c>
      <c r="C8" s="2">
        <v>0</v>
      </c>
      <c r="D8" s="2">
        <v>0</v>
      </c>
      <c r="E8" s="2">
        <v>0</v>
      </c>
      <c r="F8" s="2">
        <v>4</v>
      </c>
      <c r="G8" s="27">
        <v>0</v>
      </c>
      <c r="H8" s="34">
        <f t="shared" ref="H8:H22" si="0">SUM(B8:G8)</f>
        <v>5</v>
      </c>
      <c r="I8" s="4">
        <v>0</v>
      </c>
      <c r="J8" s="19">
        <f t="shared" ref="J8:J22" si="1">SUM(H8,I8)</f>
        <v>5</v>
      </c>
    </row>
    <row r="9" spans="1:10" x14ac:dyDescent="0.25">
      <c r="A9" s="18" t="s">
        <v>3</v>
      </c>
      <c r="B9" s="4">
        <v>62</v>
      </c>
      <c r="C9" s="2">
        <v>36</v>
      </c>
      <c r="D9" s="2">
        <v>15</v>
      </c>
      <c r="E9" s="2">
        <v>5</v>
      </c>
      <c r="F9" s="2">
        <v>42</v>
      </c>
      <c r="G9" s="27">
        <v>27</v>
      </c>
      <c r="H9" s="34">
        <f t="shared" si="0"/>
        <v>187</v>
      </c>
      <c r="I9" s="4">
        <v>1</v>
      </c>
      <c r="J9" s="19">
        <f t="shared" si="1"/>
        <v>188</v>
      </c>
    </row>
    <row r="10" spans="1:10" x14ac:dyDescent="0.25">
      <c r="A10" s="18" t="s">
        <v>4</v>
      </c>
      <c r="B10" s="4">
        <v>148</v>
      </c>
      <c r="C10" s="2">
        <v>76</v>
      </c>
      <c r="D10" s="2">
        <v>30</v>
      </c>
      <c r="E10" s="2">
        <v>7</v>
      </c>
      <c r="F10" s="2">
        <v>108</v>
      </c>
      <c r="G10" s="27">
        <v>58</v>
      </c>
      <c r="H10" s="34">
        <f t="shared" si="0"/>
        <v>427</v>
      </c>
      <c r="I10" s="4">
        <v>1</v>
      </c>
      <c r="J10" s="19">
        <f t="shared" si="1"/>
        <v>428</v>
      </c>
    </row>
    <row r="11" spans="1:10" x14ac:dyDescent="0.25">
      <c r="A11" s="18" t="s">
        <v>5</v>
      </c>
      <c r="B11" s="4">
        <v>1491</v>
      </c>
      <c r="C11" s="2">
        <v>1875</v>
      </c>
      <c r="D11" s="2">
        <v>1234</v>
      </c>
      <c r="E11" s="2">
        <v>320</v>
      </c>
      <c r="F11" s="2">
        <v>1005</v>
      </c>
      <c r="G11" s="27">
        <v>1055</v>
      </c>
      <c r="H11" s="34">
        <f t="shared" si="0"/>
        <v>6980</v>
      </c>
      <c r="I11" s="4">
        <v>41</v>
      </c>
      <c r="J11" s="19">
        <f t="shared" si="1"/>
        <v>7021</v>
      </c>
    </row>
    <row r="12" spans="1:10" x14ac:dyDescent="0.25">
      <c r="A12" s="18" t="s">
        <v>6</v>
      </c>
      <c r="B12" s="4">
        <v>3665</v>
      </c>
      <c r="C12" s="2">
        <v>5383</v>
      </c>
      <c r="D12" s="2">
        <v>3099</v>
      </c>
      <c r="E12" s="2">
        <v>834</v>
      </c>
      <c r="F12" s="2">
        <v>3912</v>
      </c>
      <c r="G12" s="27">
        <v>4036</v>
      </c>
      <c r="H12" s="34">
        <f t="shared" si="0"/>
        <v>20929</v>
      </c>
      <c r="I12" s="4">
        <v>153</v>
      </c>
      <c r="J12" s="19">
        <f t="shared" si="1"/>
        <v>21082</v>
      </c>
    </row>
    <row r="13" spans="1:10" x14ac:dyDescent="0.25">
      <c r="A13" s="18" t="s">
        <v>7</v>
      </c>
      <c r="B13" s="4">
        <v>6630</v>
      </c>
      <c r="C13" s="2">
        <v>6903</v>
      </c>
      <c r="D13" s="2">
        <v>4564</v>
      </c>
      <c r="E13" s="2">
        <v>1123</v>
      </c>
      <c r="F13" s="2">
        <v>4233</v>
      </c>
      <c r="G13" s="27">
        <v>4813</v>
      </c>
      <c r="H13" s="34">
        <f t="shared" si="0"/>
        <v>28266</v>
      </c>
      <c r="I13" s="4">
        <v>299</v>
      </c>
      <c r="J13" s="19">
        <f t="shared" si="1"/>
        <v>28565</v>
      </c>
    </row>
    <row r="14" spans="1:10" x14ac:dyDescent="0.25">
      <c r="A14" s="18" t="s">
        <v>8</v>
      </c>
      <c r="B14" s="4">
        <v>10527</v>
      </c>
      <c r="C14" s="2">
        <v>10515</v>
      </c>
      <c r="D14" s="2">
        <v>4079</v>
      </c>
      <c r="E14" s="2">
        <v>1185</v>
      </c>
      <c r="F14" s="2">
        <v>3512</v>
      </c>
      <c r="G14" s="27">
        <v>2963</v>
      </c>
      <c r="H14" s="34">
        <f t="shared" si="0"/>
        <v>32781</v>
      </c>
      <c r="I14" s="4">
        <v>427</v>
      </c>
      <c r="J14" s="19">
        <f t="shared" si="1"/>
        <v>33208</v>
      </c>
    </row>
    <row r="15" spans="1:10" x14ac:dyDescent="0.25">
      <c r="A15" s="18" t="s">
        <v>9</v>
      </c>
      <c r="B15" s="4">
        <v>9243</v>
      </c>
      <c r="C15" s="2">
        <v>5267</v>
      </c>
      <c r="D15" s="2">
        <v>884</v>
      </c>
      <c r="E15" s="2">
        <v>233</v>
      </c>
      <c r="F15" s="2">
        <v>1140</v>
      </c>
      <c r="G15" s="27">
        <v>540</v>
      </c>
      <c r="H15" s="34">
        <f t="shared" si="0"/>
        <v>17307</v>
      </c>
      <c r="I15" s="4">
        <v>81</v>
      </c>
      <c r="J15" s="19">
        <f t="shared" si="1"/>
        <v>17388</v>
      </c>
    </row>
    <row r="16" spans="1:10" x14ac:dyDescent="0.25">
      <c r="A16" s="18" t="s">
        <v>10</v>
      </c>
      <c r="B16" s="4">
        <v>4661</v>
      </c>
      <c r="C16" s="2">
        <v>2427</v>
      </c>
      <c r="D16" s="2">
        <v>576</v>
      </c>
      <c r="E16" s="2">
        <v>312</v>
      </c>
      <c r="F16" s="2">
        <v>1128</v>
      </c>
      <c r="G16" s="27">
        <v>371</v>
      </c>
      <c r="H16" s="34">
        <f t="shared" si="0"/>
        <v>9475</v>
      </c>
      <c r="I16" s="4">
        <v>59</v>
      </c>
      <c r="J16" s="19">
        <f t="shared" si="1"/>
        <v>9534</v>
      </c>
    </row>
    <row r="17" spans="1:10" x14ac:dyDescent="0.25">
      <c r="A17" s="18" t="s">
        <v>11</v>
      </c>
      <c r="B17" s="4">
        <v>381</v>
      </c>
      <c r="C17" s="2">
        <v>97</v>
      </c>
      <c r="D17" s="2">
        <v>2</v>
      </c>
      <c r="E17" s="2">
        <v>9</v>
      </c>
      <c r="F17" s="2">
        <v>0</v>
      </c>
      <c r="G17" s="27">
        <v>0</v>
      </c>
      <c r="H17" s="34">
        <f t="shared" si="0"/>
        <v>489</v>
      </c>
      <c r="I17" s="4">
        <v>0</v>
      </c>
      <c r="J17" s="19">
        <f t="shared" si="1"/>
        <v>489</v>
      </c>
    </row>
    <row r="18" spans="1:10" x14ac:dyDescent="0.25">
      <c r="A18" s="18" t="s">
        <v>12</v>
      </c>
      <c r="B18" s="4">
        <v>1471</v>
      </c>
      <c r="C18" s="2">
        <v>552</v>
      </c>
      <c r="D18" s="2">
        <v>13</v>
      </c>
      <c r="E18" s="2">
        <v>44</v>
      </c>
      <c r="F18" s="2">
        <v>0</v>
      </c>
      <c r="G18" s="27">
        <v>0</v>
      </c>
      <c r="H18" s="34">
        <f t="shared" si="0"/>
        <v>2080</v>
      </c>
      <c r="I18" s="4">
        <v>18</v>
      </c>
      <c r="J18" s="19">
        <f t="shared" si="1"/>
        <v>2098</v>
      </c>
    </row>
    <row r="19" spans="1:10" x14ac:dyDescent="0.25">
      <c r="A19" s="18" t="s">
        <v>13</v>
      </c>
      <c r="B19" s="4">
        <v>2064</v>
      </c>
      <c r="C19" s="2">
        <v>807</v>
      </c>
      <c r="D19" s="2">
        <v>36</v>
      </c>
      <c r="E19" s="2">
        <v>73</v>
      </c>
      <c r="F19" s="2">
        <v>0</v>
      </c>
      <c r="G19" s="27">
        <v>0</v>
      </c>
      <c r="H19" s="34">
        <f t="shared" si="0"/>
        <v>2980</v>
      </c>
      <c r="I19" s="4">
        <v>55</v>
      </c>
      <c r="J19" s="19">
        <f t="shared" si="1"/>
        <v>3035</v>
      </c>
    </row>
    <row r="20" spans="1:10" x14ac:dyDescent="0.25">
      <c r="A20" s="18" t="s">
        <v>14</v>
      </c>
      <c r="B20" s="4">
        <v>3567</v>
      </c>
      <c r="C20" s="2">
        <v>1438</v>
      </c>
      <c r="D20" s="2">
        <v>37</v>
      </c>
      <c r="E20" s="2">
        <v>106</v>
      </c>
      <c r="F20" s="2">
        <v>0</v>
      </c>
      <c r="G20" s="27">
        <v>0</v>
      </c>
      <c r="H20" s="34">
        <f t="shared" si="0"/>
        <v>5148</v>
      </c>
      <c r="I20" s="4">
        <v>57</v>
      </c>
      <c r="J20" s="19">
        <f t="shared" si="1"/>
        <v>5205</v>
      </c>
    </row>
    <row r="21" spans="1:10" x14ac:dyDescent="0.25">
      <c r="A21" s="18" t="s">
        <v>15</v>
      </c>
      <c r="B21" s="4">
        <v>1064</v>
      </c>
      <c r="C21" s="2">
        <v>409</v>
      </c>
      <c r="D21" s="2">
        <v>0</v>
      </c>
      <c r="E21" s="2">
        <v>27</v>
      </c>
      <c r="F21" s="2">
        <v>0</v>
      </c>
      <c r="G21" s="27">
        <v>0</v>
      </c>
      <c r="H21" s="34">
        <f t="shared" si="0"/>
        <v>1500</v>
      </c>
      <c r="I21" s="4">
        <v>0</v>
      </c>
      <c r="J21" s="19">
        <f t="shared" si="1"/>
        <v>1500</v>
      </c>
    </row>
    <row r="22" spans="1:10" x14ac:dyDescent="0.25">
      <c r="A22" s="18" t="s">
        <v>59</v>
      </c>
      <c r="B22" s="4">
        <v>0</v>
      </c>
      <c r="C22" s="2">
        <v>0</v>
      </c>
      <c r="D22" s="2">
        <v>0</v>
      </c>
      <c r="E22" s="2">
        <v>0</v>
      </c>
      <c r="F22" s="2">
        <v>0</v>
      </c>
      <c r="G22" s="27">
        <v>0</v>
      </c>
      <c r="H22" s="34">
        <f t="shared" si="0"/>
        <v>0</v>
      </c>
      <c r="I22" s="4">
        <v>0</v>
      </c>
      <c r="J22" s="19">
        <f t="shared" si="1"/>
        <v>0</v>
      </c>
    </row>
    <row r="23" spans="1:10" ht="15.75" thickBot="1" x14ac:dyDescent="0.3">
      <c r="A23" s="20"/>
      <c r="B23" s="7"/>
      <c r="C23" s="8"/>
      <c r="D23" s="8"/>
      <c r="E23" s="8"/>
      <c r="F23" s="8"/>
      <c r="G23" s="28"/>
      <c r="H23" s="35"/>
      <c r="I23" s="7" t="s">
        <v>29</v>
      </c>
      <c r="J23" s="21"/>
    </row>
    <row r="24" spans="1:10" ht="15.75" thickBot="1" x14ac:dyDescent="0.3">
      <c r="A24" s="22" t="s">
        <v>16</v>
      </c>
      <c r="B24" s="37">
        <f>SUM(B7:B22)</f>
        <v>44976</v>
      </c>
      <c r="C24" s="37">
        <f t="shared" ref="C24:J24" si="2">SUM(C7:C22)</f>
        <v>35785</v>
      </c>
      <c r="D24" s="37">
        <f t="shared" si="2"/>
        <v>14569</v>
      </c>
      <c r="E24" s="37">
        <f t="shared" si="2"/>
        <v>4278</v>
      </c>
      <c r="F24" s="37">
        <f t="shared" si="2"/>
        <v>15084</v>
      </c>
      <c r="G24" s="38">
        <f t="shared" si="2"/>
        <v>13863</v>
      </c>
      <c r="H24" s="31">
        <f t="shared" si="2"/>
        <v>128555</v>
      </c>
      <c r="I24" s="37">
        <f t="shared" si="2"/>
        <v>1192</v>
      </c>
      <c r="J24" s="39">
        <f t="shared" si="2"/>
        <v>129747</v>
      </c>
    </row>
    <row r="25" spans="1:10" x14ac:dyDescent="0.25">
      <c r="A25" s="18" t="s">
        <v>17</v>
      </c>
      <c r="B25" s="5">
        <v>2055</v>
      </c>
      <c r="C25" s="6">
        <v>1561</v>
      </c>
      <c r="D25" s="6">
        <v>362</v>
      </c>
      <c r="E25" s="6">
        <v>175</v>
      </c>
      <c r="F25" s="6">
        <v>1880</v>
      </c>
      <c r="G25" s="26">
        <v>980</v>
      </c>
      <c r="H25" s="34">
        <f>SUM(B25:G25)</f>
        <v>7013</v>
      </c>
      <c r="I25" s="5">
        <v>69</v>
      </c>
      <c r="J25" s="23">
        <f>H25+I25</f>
        <v>7082</v>
      </c>
    </row>
    <row r="26" spans="1:10" x14ac:dyDescent="0.25">
      <c r="A26" s="18" t="s">
        <v>18</v>
      </c>
      <c r="B26" s="4">
        <v>7474</v>
      </c>
      <c r="C26" s="2">
        <v>5596</v>
      </c>
      <c r="D26" s="2">
        <v>943</v>
      </c>
      <c r="E26" s="2">
        <v>537</v>
      </c>
      <c r="F26" s="2">
        <v>4518</v>
      </c>
      <c r="G26" s="27">
        <v>2947</v>
      </c>
      <c r="H26" s="34">
        <f t="shared" ref="H26:H34" si="3">SUM(B26:G26)</f>
        <v>22015</v>
      </c>
      <c r="I26" s="4">
        <v>117</v>
      </c>
      <c r="J26" s="23">
        <f t="shared" ref="J26:J34" si="4">H26+I26</f>
        <v>22132</v>
      </c>
    </row>
    <row r="27" spans="1:10" x14ac:dyDescent="0.25">
      <c r="A27" s="18" t="s">
        <v>19</v>
      </c>
      <c r="B27" s="4">
        <v>21647</v>
      </c>
      <c r="C27" s="2">
        <v>15463</v>
      </c>
      <c r="D27" s="2">
        <v>3702</v>
      </c>
      <c r="E27" s="2">
        <v>1072</v>
      </c>
      <c r="F27" s="2">
        <v>14864</v>
      </c>
      <c r="G27" s="27">
        <v>8481</v>
      </c>
      <c r="H27" s="34">
        <f t="shared" si="3"/>
        <v>65229</v>
      </c>
      <c r="I27" s="4">
        <v>683</v>
      </c>
      <c r="J27" s="23">
        <f t="shared" si="4"/>
        <v>65912</v>
      </c>
    </row>
    <row r="28" spans="1:10" x14ac:dyDescent="0.25">
      <c r="A28" s="18" t="s">
        <v>20</v>
      </c>
      <c r="B28" s="4">
        <v>39922</v>
      </c>
      <c r="C28" s="2">
        <v>19769</v>
      </c>
      <c r="D28" s="2">
        <v>10586</v>
      </c>
      <c r="E28" s="2">
        <v>2273</v>
      </c>
      <c r="F28" s="2">
        <v>18564</v>
      </c>
      <c r="G28" s="27">
        <v>12244</v>
      </c>
      <c r="H28" s="34">
        <f t="shared" si="3"/>
        <v>103358</v>
      </c>
      <c r="I28" s="4">
        <v>1314</v>
      </c>
      <c r="J28" s="23">
        <f t="shared" si="4"/>
        <v>104672</v>
      </c>
    </row>
    <row r="29" spans="1:10" x14ac:dyDescent="0.25">
      <c r="A29" s="18" t="s">
        <v>21</v>
      </c>
      <c r="B29" s="4">
        <v>64257</v>
      </c>
      <c r="C29" s="2">
        <v>28144</v>
      </c>
      <c r="D29" s="2">
        <v>13496</v>
      </c>
      <c r="E29" s="2">
        <v>4362</v>
      </c>
      <c r="F29" s="2">
        <v>18698</v>
      </c>
      <c r="G29" s="27">
        <v>9841</v>
      </c>
      <c r="H29" s="34">
        <f t="shared" si="3"/>
        <v>138798</v>
      </c>
      <c r="I29" s="4">
        <v>1747</v>
      </c>
      <c r="J29" s="23">
        <f t="shared" si="4"/>
        <v>140545</v>
      </c>
    </row>
    <row r="30" spans="1:10" x14ac:dyDescent="0.25">
      <c r="A30" s="18" t="s">
        <v>22</v>
      </c>
      <c r="B30" s="4">
        <v>90087</v>
      </c>
      <c r="C30" s="2">
        <v>58736</v>
      </c>
      <c r="D30" s="2">
        <v>7747</v>
      </c>
      <c r="E30" s="2">
        <v>6148</v>
      </c>
      <c r="F30" s="2">
        <v>16217</v>
      </c>
      <c r="G30" s="27">
        <v>15824</v>
      </c>
      <c r="H30" s="34">
        <f t="shared" si="3"/>
        <v>194759</v>
      </c>
      <c r="I30" s="4">
        <v>2103</v>
      </c>
      <c r="J30" s="23">
        <f t="shared" si="4"/>
        <v>196862</v>
      </c>
    </row>
    <row r="31" spans="1:10" x14ac:dyDescent="0.25">
      <c r="A31" s="18" t="s">
        <v>23</v>
      </c>
      <c r="B31" s="4">
        <v>39736</v>
      </c>
      <c r="C31" s="2">
        <v>17082</v>
      </c>
      <c r="D31" s="2">
        <v>4791</v>
      </c>
      <c r="E31" s="2">
        <v>14875</v>
      </c>
      <c r="F31" s="2">
        <v>13994</v>
      </c>
      <c r="G31" s="27">
        <v>3462</v>
      </c>
      <c r="H31" s="34">
        <f t="shared" si="3"/>
        <v>93940</v>
      </c>
      <c r="I31" s="4">
        <v>178</v>
      </c>
      <c r="J31" s="23">
        <f t="shared" si="4"/>
        <v>94118</v>
      </c>
    </row>
    <row r="32" spans="1:10" x14ac:dyDescent="0.25">
      <c r="A32" s="18" t="s">
        <v>24</v>
      </c>
      <c r="B32" s="4">
        <v>21495</v>
      </c>
      <c r="C32" s="2">
        <v>8244</v>
      </c>
      <c r="D32" s="2">
        <v>1292</v>
      </c>
      <c r="E32" s="2">
        <v>3542</v>
      </c>
      <c r="F32" s="2">
        <v>341</v>
      </c>
      <c r="G32" s="27">
        <v>946</v>
      </c>
      <c r="H32" s="34">
        <f t="shared" si="3"/>
        <v>35860</v>
      </c>
      <c r="I32" s="4">
        <v>14</v>
      </c>
      <c r="J32" s="23">
        <f t="shared" si="4"/>
        <v>35874</v>
      </c>
    </row>
    <row r="33" spans="1:10" s="3" customFormat="1" ht="15.75" customHeight="1" x14ac:dyDescent="0.25">
      <c r="A33" s="18" t="s">
        <v>25</v>
      </c>
      <c r="B33" s="2">
        <v>17162</v>
      </c>
      <c r="C33" s="2">
        <v>7509</v>
      </c>
      <c r="D33" s="2">
        <v>807</v>
      </c>
      <c r="E33" s="2">
        <v>1222</v>
      </c>
      <c r="F33" s="2">
        <v>879</v>
      </c>
      <c r="G33" s="27">
        <v>714</v>
      </c>
      <c r="H33" s="34">
        <f t="shared" si="3"/>
        <v>28293</v>
      </c>
      <c r="I33" s="4">
        <v>0</v>
      </c>
      <c r="J33" s="23">
        <f t="shared" si="4"/>
        <v>28293</v>
      </c>
    </row>
    <row r="34" spans="1:10" x14ac:dyDescent="0.25">
      <c r="A34" s="18" t="s">
        <v>60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70">
        <v>0</v>
      </c>
      <c r="H34" s="34">
        <f t="shared" si="3"/>
        <v>0</v>
      </c>
      <c r="I34" s="4">
        <v>0</v>
      </c>
      <c r="J34" s="23">
        <f t="shared" si="4"/>
        <v>0</v>
      </c>
    </row>
    <row r="35" spans="1:10" ht="15.75" thickBot="1" x14ac:dyDescent="0.3">
      <c r="A35" s="18"/>
      <c r="B35" s="9"/>
      <c r="C35" s="10"/>
      <c r="D35" s="10"/>
      <c r="E35" s="10"/>
      <c r="F35" s="10"/>
      <c r="G35" s="29"/>
      <c r="H35" s="34"/>
      <c r="I35" s="4"/>
      <c r="J35" s="23"/>
    </row>
    <row r="36" spans="1:10" ht="15.75" thickBot="1" x14ac:dyDescent="0.3">
      <c r="A36" s="22" t="s">
        <v>26</v>
      </c>
      <c r="B36" s="37">
        <f>SUM(B25:B34)</f>
        <v>303835</v>
      </c>
      <c r="C36" s="37">
        <f t="shared" ref="C36:J36" si="5">SUM(C25:C34)</f>
        <v>162104</v>
      </c>
      <c r="D36" s="37">
        <f t="shared" si="5"/>
        <v>43726</v>
      </c>
      <c r="E36" s="37">
        <f t="shared" si="5"/>
        <v>34206</v>
      </c>
      <c r="F36" s="37">
        <f t="shared" si="5"/>
        <v>89955</v>
      </c>
      <c r="G36" s="38">
        <f t="shared" si="5"/>
        <v>55439</v>
      </c>
      <c r="H36" s="31">
        <f t="shared" si="5"/>
        <v>689265</v>
      </c>
      <c r="I36" s="37">
        <f t="shared" si="5"/>
        <v>6225</v>
      </c>
      <c r="J36" s="66">
        <f t="shared" si="5"/>
        <v>695490</v>
      </c>
    </row>
    <row r="37" spans="1:10" ht="16.5" thickTop="1" thickBot="1" x14ac:dyDescent="0.3">
      <c r="A37" s="11" t="s">
        <v>27</v>
      </c>
      <c r="B37" s="40">
        <f>SUM(B24,B36)</f>
        <v>348811</v>
      </c>
      <c r="C37" s="40">
        <f>SUM(C24,C36)</f>
        <v>197889</v>
      </c>
      <c r="D37" s="40">
        <f>SUM(D24,D36)</f>
        <v>58295</v>
      </c>
      <c r="E37" s="40">
        <f>SUM(E24,E36)</f>
        <v>38484</v>
      </c>
      <c r="F37" s="40">
        <f>SUM(F24,F36)</f>
        <v>105039</v>
      </c>
      <c r="G37" s="41">
        <f>SUM(G24,G36)</f>
        <v>69302</v>
      </c>
      <c r="H37" s="67">
        <f>SUM(H24,H36)</f>
        <v>817820</v>
      </c>
      <c r="I37" s="40">
        <f>SUM(I24,I36)</f>
        <v>7417</v>
      </c>
      <c r="J37" s="42">
        <f>SUM(J24,J36)</f>
        <v>825237</v>
      </c>
    </row>
    <row r="38" spans="1:10" ht="15.75" thickTop="1" x14ac:dyDescent="0.25">
      <c r="B38" s="12"/>
    </row>
    <row r="39" spans="1:10" x14ac:dyDescent="0.25">
      <c r="A39" s="1" t="s">
        <v>45</v>
      </c>
    </row>
    <row r="40" spans="1:10" x14ac:dyDescent="0.25">
      <c r="I40" s="3"/>
      <c r="J40" s="3"/>
    </row>
    <row r="41" spans="1:10" x14ac:dyDescent="0.25">
      <c r="I41" s="3"/>
      <c r="J41" s="3"/>
    </row>
  </sheetData>
  <mergeCells count="5">
    <mergeCell ref="A1:J1"/>
    <mergeCell ref="A2:J2"/>
    <mergeCell ref="A3:J3"/>
    <mergeCell ref="A4:J4"/>
    <mergeCell ref="A5:J5"/>
  </mergeCells>
  <printOptions horizontalCentered="1"/>
  <pageMargins left="0.7" right="0.7" top="0.75" bottom="0.75" header="0.3" footer="0.3"/>
  <pageSetup scale="67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1"/>
  <sheetViews>
    <sheetView topLeftCell="A4" workbookViewId="0">
      <selection activeCell="A3" sqref="A3:J3"/>
    </sheetView>
  </sheetViews>
  <sheetFormatPr defaultRowHeight="15" x14ac:dyDescent="0.25"/>
  <cols>
    <col min="1" max="1" width="40.85546875" style="1" bestFit="1" customWidth="1"/>
    <col min="2" max="10" width="15.7109375" customWidth="1"/>
  </cols>
  <sheetData>
    <row r="1" spans="1:10" ht="19.5" thickTop="1" x14ac:dyDescent="0.3">
      <c r="A1" s="48" t="s">
        <v>28</v>
      </c>
      <c r="B1" s="49"/>
      <c r="C1" s="49"/>
      <c r="D1" s="49"/>
      <c r="E1" s="49"/>
      <c r="F1" s="49"/>
      <c r="G1" s="49"/>
      <c r="H1" s="49"/>
      <c r="I1" s="49"/>
      <c r="J1" s="50"/>
    </row>
    <row r="2" spans="1:10" ht="18.75" x14ac:dyDescent="0.3">
      <c r="A2" s="51" t="s">
        <v>30</v>
      </c>
      <c r="B2" s="52"/>
      <c r="C2" s="52"/>
      <c r="D2" s="52"/>
      <c r="E2" s="52"/>
      <c r="F2" s="52"/>
      <c r="G2" s="52"/>
      <c r="H2" s="52"/>
      <c r="I2" s="52"/>
      <c r="J2" s="53"/>
    </row>
    <row r="3" spans="1:10" ht="18.75" x14ac:dyDescent="0.3">
      <c r="A3" s="54" t="s">
        <v>46</v>
      </c>
      <c r="B3" s="55"/>
      <c r="C3" s="55"/>
      <c r="D3" s="55"/>
      <c r="E3" s="55"/>
      <c r="F3" s="55"/>
      <c r="G3" s="55"/>
      <c r="H3" s="55"/>
      <c r="I3" s="55"/>
      <c r="J3" s="56"/>
    </row>
    <row r="4" spans="1:10" ht="19.5" thickBot="1" x14ac:dyDescent="0.35">
      <c r="A4" s="57"/>
      <c r="B4" s="58"/>
      <c r="C4" s="58"/>
      <c r="D4" s="58"/>
      <c r="E4" s="58"/>
      <c r="F4" s="58"/>
      <c r="G4" s="58"/>
      <c r="H4" s="58"/>
      <c r="I4" s="58"/>
      <c r="J4" s="59"/>
    </row>
    <row r="5" spans="1:10" ht="15.75" thickBot="1" x14ac:dyDescent="0.3">
      <c r="A5" s="60"/>
      <c r="B5" s="61"/>
      <c r="C5" s="61"/>
      <c r="D5" s="61"/>
      <c r="E5" s="61"/>
      <c r="F5" s="61"/>
      <c r="G5" s="61"/>
      <c r="H5" s="61"/>
      <c r="I5" s="61"/>
      <c r="J5" s="62"/>
    </row>
    <row r="6" spans="1:10" s="13" customFormat="1" ht="30.75" thickBot="1" x14ac:dyDescent="0.3">
      <c r="A6" s="16" t="s">
        <v>0</v>
      </c>
      <c r="B6" s="14" t="s">
        <v>31</v>
      </c>
      <c r="C6" s="15" t="s">
        <v>32</v>
      </c>
      <c r="D6" s="15" t="s">
        <v>33</v>
      </c>
      <c r="E6" s="15" t="s">
        <v>34</v>
      </c>
      <c r="F6" s="15" t="s">
        <v>35</v>
      </c>
      <c r="G6" s="25" t="s">
        <v>36</v>
      </c>
      <c r="H6" s="33" t="s">
        <v>37</v>
      </c>
      <c r="I6" s="30" t="s">
        <v>41</v>
      </c>
      <c r="J6" s="17" t="s">
        <v>39</v>
      </c>
    </row>
    <row r="7" spans="1:10" ht="15.75" thickTop="1" x14ac:dyDescent="0.25">
      <c r="A7" s="18" t="s">
        <v>1</v>
      </c>
      <c r="B7" s="5">
        <v>1</v>
      </c>
      <c r="C7" s="6">
        <v>0</v>
      </c>
      <c r="D7" s="6">
        <v>0</v>
      </c>
      <c r="E7" s="6">
        <v>0</v>
      </c>
      <c r="F7" s="6">
        <v>0</v>
      </c>
      <c r="G7" s="26">
        <v>0</v>
      </c>
      <c r="H7" s="34">
        <f>SUM(B7:G7)</f>
        <v>1</v>
      </c>
      <c r="I7" s="5">
        <v>0</v>
      </c>
      <c r="J7" s="19">
        <f>SUM(H7,I7)</f>
        <v>1</v>
      </c>
    </row>
    <row r="8" spans="1:10" x14ac:dyDescent="0.25">
      <c r="A8" s="18" t="s">
        <v>2</v>
      </c>
      <c r="B8" s="4">
        <v>1</v>
      </c>
      <c r="C8" s="2">
        <v>0</v>
      </c>
      <c r="D8" s="2">
        <v>0</v>
      </c>
      <c r="E8" s="2">
        <v>0</v>
      </c>
      <c r="F8" s="2">
        <v>4</v>
      </c>
      <c r="G8" s="27">
        <v>0</v>
      </c>
      <c r="H8" s="34">
        <f t="shared" ref="H8:H22" si="0">SUM(B8:G8)</f>
        <v>5</v>
      </c>
      <c r="I8" s="4">
        <v>0</v>
      </c>
      <c r="J8" s="19">
        <f t="shared" ref="J8:J22" si="1">SUM(H8,I8)</f>
        <v>5</v>
      </c>
    </row>
    <row r="9" spans="1:10" x14ac:dyDescent="0.25">
      <c r="A9" s="18" t="s">
        <v>3</v>
      </c>
      <c r="B9" s="4">
        <v>61</v>
      </c>
      <c r="C9" s="2">
        <v>36</v>
      </c>
      <c r="D9" s="2">
        <v>15</v>
      </c>
      <c r="E9" s="2">
        <v>6</v>
      </c>
      <c r="F9" s="2">
        <v>40</v>
      </c>
      <c r="G9" s="27">
        <v>27</v>
      </c>
      <c r="H9" s="34">
        <f t="shared" si="0"/>
        <v>185</v>
      </c>
      <c r="I9" s="4">
        <v>1</v>
      </c>
      <c r="J9" s="19">
        <f t="shared" si="1"/>
        <v>186</v>
      </c>
    </row>
    <row r="10" spans="1:10" x14ac:dyDescent="0.25">
      <c r="A10" s="18" t="s">
        <v>4</v>
      </c>
      <c r="B10" s="4">
        <v>147</v>
      </c>
      <c r="C10" s="2">
        <v>77</v>
      </c>
      <c r="D10" s="2">
        <v>30</v>
      </c>
      <c r="E10" s="2">
        <v>6</v>
      </c>
      <c r="F10" s="2">
        <v>110</v>
      </c>
      <c r="G10" s="27">
        <v>57</v>
      </c>
      <c r="H10" s="34">
        <f t="shared" si="0"/>
        <v>427</v>
      </c>
      <c r="I10" s="4">
        <v>1</v>
      </c>
      <c r="J10" s="19">
        <f t="shared" si="1"/>
        <v>428</v>
      </c>
    </row>
    <row r="11" spans="1:10" x14ac:dyDescent="0.25">
      <c r="A11" s="18" t="s">
        <v>5</v>
      </c>
      <c r="B11" s="4">
        <v>1495</v>
      </c>
      <c r="C11" s="2">
        <v>1881</v>
      </c>
      <c r="D11" s="2">
        <v>1237</v>
      </c>
      <c r="E11" s="2">
        <v>319</v>
      </c>
      <c r="F11" s="2">
        <v>1001</v>
      </c>
      <c r="G11" s="27">
        <v>1086</v>
      </c>
      <c r="H11" s="34">
        <f t="shared" si="0"/>
        <v>7019</v>
      </c>
      <c r="I11" s="4">
        <v>41</v>
      </c>
      <c r="J11" s="19">
        <f t="shared" si="1"/>
        <v>7060</v>
      </c>
    </row>
    <row r="12" spans="1:10" x14ac:dyDescent="0.25">
      <c r="A12" s="18" t="s">
        <v>6</v>
      </c>
      <c r="B12" s="4">
        <v>3632</v>
      </c>
      <c r="C12" s="2">
        <v>5365</v>
      </c>
      <c r="D12" s="2">
        <v>3092</v>
      </c>
      <c r="E12" s="2">
        <v>827</v>
      </c>
      <c r="F12" s="2">
        <v>3920</v>
      </c>
      <c r="G12" s="27">
        <v>3993</v>
      </c>
      <c r="H12" s="34">
        <f t="shared" si="0"/>
        <v>20829</v>
      </c>
      <c r="I12" s="4">
        <v>153</v>
      </c>
      <c r="J12" s="19">
        <f t="shared" si="1"/>
        <v>20982</v>
      </c>
    </row>
    <row r="13" spans="1:10" x14ac:dyDescent="0.25">
      <c r="A13" s="18" t="s">
        <v>7</v>
      </c>
      <c r="B13" s="4">
        <v>6585</v>
      </c>
      <c r="C13" s="2">
        <v>6876</v>
      </c>
      <c r="D13" s="2">
        <v>4548</v>
      </c>
      <c r="E13" s="2">
        <v>1133</v>
      </c>
      <c r="F13" s="2">
        <v>4237</v>
      </c>
      <c r="G13" s="27">
        <v>4895</v>
      </c>
      <c r="H13" s="34">
        <f t="shared" si="0"/>
        <v>28274</v>
      </c>
      <c r="I13" s="4">
        <v>299</v>
      </c>
      <c r="J13" s="19">
        <f t="shared" si="1"/>
        <v>28573</v>
      </c>
    </row>
    <row r="14" spans="1:10" x14ac:dyDescent="0.25">
      <c r="A14" s="18" t="s">
        <v>8</v>
      </c>
      <c r="B14" s="4">
        <v>10499</v>
      </c>
      <c r="C14" s="2">
        <v>10685</v>
      </c>
      <c r="D14" s="2">
        <v>4094</v>
      </c>
      <c r="E14" s="2">
        <v>1180</v>
      </c>
      <c r="F14" s="2">
        <v>3503</v>
      </c>
      <c r="G14" s="27">
        <v>2934</v>
      </c>
      <c r="H14" s="34">
        <f t="shared" si="0"/>
        <v>32895</v>
      </c>
      <c r="I14" s="4">
        <v>427</v>
      </c>
      <c r="J14" s="19">
        <f t="shared" si="1"/>
        <v>33322</v>
      </c>
    </row>
    <row r="15" spans="1:10" x14ac:dyDescent="0.25">
      <c r="A15" s="18" t="s">
        <v>9</v>
      </c>
      <c r="B15" s="4">
        <v>9308</v>
      </c>
      <c r="C15" s="2">
        <v>5353</v>
      </c>
      <c r="D15" s="2">
        <v>873</v>
      </c>
      <c r="E15" s="2">
        <v>252</v>
      </c>
      <c r="F15" s="2">
        <v>1126</v>
      </c>
      <c r="G15" s="27">
        <v>504</v>
      </c>
      <c r="H15" s="34">
        <f t="shared" si="0"/>
        <v>17416</v>
      </c>
      <c r="I15" s="4">
        <v>81</v>
      </c>
      <c r="J15" s="19">
        <f t="shared" si="1"/>
        <v>17497</v>
      </c>
    </row>
    <row r="16" spans="1:10" x14ac:dyDescent="0.25">
      <c r="A16" s="18" t="s">
        <v>10</v>
      </c>
      <c r="B16" s="4">
        <v>4639</v>
      </c>
      <c r="C16" s="2">
        <v>2381</v>
      </c>
      <c r="D16" s="2">
        <v>547</v>
      </c>
      <c r="E16" s="2">
        <v>251</v>
      </c>
      <c r="F16" s="2">
        <v>1144</v>
      </c>
      <c r="G16" s="27">
        <v>394</v>
      </c>
      <c r="H16" s="34">
        <f t="shared" si="0"/>
        <v>9356</v>
      </c>
      <c r="I16" s="4">
        <v>59</v>
      </c>
      <c r="J16" s="19">
        <f t="shared" si="1"/>
        <v>9415</v>
      </c>
    </row>
    <row r="17" spans="1:10" x14ac:dyDescent="0.25">
      <c r="A17" s="18" t="s">
        <v>11</v>
      </c>
      <c r="B17" s="4">
        <v>378</v>
      </c>
      <c r="C17" s="2">
        <v>99</v>
      </c>
      <c r="D17" s="2">
        <v>2</v>
      </c>
      <c r="E17" s="2">
        <v>9</v>
      </c>
      <c r="F17" s="2">
        <v>0</v>
      </c>
      <c r="G17" s="27">
        <v>0</v>
      </c>
      <c r="H17" s="34">
        <f t="shared" si="0"/>
        <v>488</v>
      </c>
      <c r="I17" s="4">
        <v>0</v>
      </c>
      <c r="J17" s="19">
        <f t="shared" si="1"/>
        <v>488</v>
      </c>
    </row>
    <row r="18" spans="1:10" x14ac:dyDescent="0.25">
      <c r="A18" s="18" t="s">
        <v>12</v>
      </c>
      <c r="B18" s="4">
        <v>1464</v>
      </c>
      <c r="C18" s="2">
        <v>546</v>
      </c>
      <c r="D18" s="2">
        <v>13</v>
      </c>
      <c r="E18" s="2">
        <v>44</v>
      </c>
      <c r="F18" s="2">
        <v>0</v>
      </c>
      <c r="G18" s="27">
        <v>0</v>
      </c>
      <c r="H18" s="34">
        <f t="shared" si="0"/>
        <v>2067</v>
      </c>
      <c r="I18" s="4">
        <v>18</v>
      </c>
      <c r="J18" s="19">
        <f t="shared" si="1"/>
        <v>2085</v>
      </c>
    </row>
    <row r="19" spans="1:10" x14ac:dyDescent="0.25">
      <c r="A19" s="18" t="s">
        <v>13</v>
      </c>
      <c r="B19" s="4">
        <v>2056</v>
      </c>
      <c r="C19" s="2">
        <v>834</v>
      </c>
      <c r="D19" s="2">
        <v>34</v>
      </c>
      <c r="E19" s="2">
        <v>71</v>
      </c>
      <c r="F19" s="2">
        <v>0</v>
      </c>
      <c r="G19" s="27">
        <v>0</v>
      </c>
      <c r="H19" s="34">
        <f t="shared" si="0"/>
        <v>2995</v>
      </c>
      <c r="I19" s="4">
        <v>55</v>
      </c>
      <c r="J19" s="19">
        <f t="shared" si="1"/>
        <v>3050</v>
      </c>
    </row>
    <row r="20" spans="1:10" x14ac:dyDescent="0.25">
      <c r="A20" s="18" t="s">
        <v>14</v>
      </c>
      <c r="B20" s="4">
        <v>3570</v>
      </c>
      <c r="C20" s="2">
        <v>1429</v>
      </c>
      <c r="D20" s="2">
        <v>36</v>
      </c>
      <c r="E20" s="2">
        <v>106</v>
      </c>
      <c r="F20" s="2">
        <v>0</v>
      </c>
      <c r="G20" s="27">
        <v>0</v>
      </c>
      <c r="H20" s="34">
        <f t="shared" si="0"/>
        <v>5141</v>
      </c>
      <c r="I20" s="4">
        <v>57</v>
      </c>
      <c r="J20" s="19">
        <f t="shared" si="1"/>
        <v>5198</v>
      </c>
    </row>
    <row r="21" spans="1:10" x14ac:dyDescent="0.25">
      <c r="A21" s="18" t="s">
        <v>15</v>
      </c>
      <c r="B21" s="4">
        <v>1081</v>
      </c>
      <c r="C21" s="2">
        <v>406</v>
      </c>
      <c r="D21" s="2">
        <v>0</v>
      </c>
      <c r="E21" s="2">
        <v>27</v>
      </c>
      <c r="F21" s="2">
        <v>0</v>
      </c>
      <c r="G21" s="27">
        <v>0</v>
      </c>
      <c r="H21" s="34">
        <f t="shared" si="0"/>
        <v>1514</v>
      </c>
      <c r="I21" s="4">
        <v>0</v>
      </c>
      <c r="J21" s="19">
        <f t="shared" si="1"/>
        <v>1514</v>
      </c>
    </row>
    <row r="22" spans="1:10" x14ac:dyDescent="0.25">
      <c r="A22" s="18" t="s">
        <v>59</v>
      </c>
      <c r="B22" s="4">
        <v>0</v>
      </c>
      <c r="C22" s="2">
        <v>0</v>
      </c>
      <c r="D22" s="2">
        <v>0</v>
      </c>
      <c r="E22" s="2">
        <v>0</v>
      </c>
      <c r="F22" s="2">
        <v>0</v>
      </c>
      <c r="G22" s="27">
        <v>0</v>
      </c>
      <c r="H22" s="34">
        <f t="shared" si="0"/>
        <v>0</v>
      </c>
      <c r="I22" s="4">
        <v>0</v>
      </c>
      <c r="J22" s="19">
        <f t="shared" si="1"/>
        <v>0</v>
      </c>
    </row>
    <row r="23" spans="1:10" ht="15.75" thickBot="1" x14ac:dyDescent="0.3">
      <c r="A23" s="20"/>
      <c r="B23" s="7"/>
      <c r="C23" s="8"/>
      <c r="D23" s="8"/>
      <c r="E23" s="8"/>
      <c r="F23" s="8"/>
      <c r="G23" s="28"/>
      <c r="H23" s="35"/>
      <c r="I23" s="7" t="s">
        <v>29</v>
      </c>
      <c r="J23" s="21"/>
    </row>
    <row r="24" spans="1:10" ht="15.75" thickBot="1" x14ac:dyDescent="0.3">
      <c r="A24" s="22" t="s">
        <v>16</v>
      </c>
      <c r="B24" s="37">
        <f>SUM(B7:B22)</f>
        <v>44917</v>
      </c>
      <c r="C24" s="37">
        <f t="shared" ref="C24:J24" si="2">SUM(C7:C22)</f>
        <v>35968</v>
      </c>
      <c r="D24" s="37">
        <f t="shared" si="2"/>
        <v>14521</v>
      </c>
      <c r="E24" s="37">
        <f t="shared" si="2"/>
        <v>4231</v>
      </c>
      <c r="F24" s="37">
        <f t="shared" si="2"/>
        <v>15085</v>
      </c>
      <c r="G24" s="38">
        <f t="shared" si="2"/>
        <v>13890</v>
      </c>
      <c r="H24" s="31">
        <f t="shared" si="2"/>
        <v>128612</v>
      </c>
      <c r="I24" s="37">
        <f t="shared" si="2"/>
        <v>1192</v>
      </c>
      <c r="J24" s="39">
        <f t="shared" si="2"/>
        <v>129804</v>
      </c>
    </row>
    <row r="25" spans="1:10" x14ac:dyDescent="0.25">
      <c r="A25" s="18" t="s">
        <v>17</v>
      </c>
      <c r="B25" s="5">
        <v>2070</v>
      </c>
      <c r="C25" s="6">
        <v>1548</v>
      </c>
      <c r="D25" s="6">
        <v>363</v>
      </c>
      <c r="E25" s="6">
        <v>173</v>
      </c>
      <c r="F25" s="6">
        <v>1892</v>
      </c>
      <c r="G25" s="26">
        <v>973</v>
      </c>
      <c r="H25" s="34">
        <f>SUM(B25:G25)</f>
        <v>7019</v>
      </c>
      <c r="I25" s="5">
        <v>69</v>
      </c>
      <c r="J25" s="23">
        <f>H25+I25</f>
        <v>7088</v>
      </c>
    </row>
    <row r="26" spans="1:10" x14ac:dyDescent="0.25">
      <c r="A26" s="18" t="s">
        <v>18</v>
      </c>
      <c r="B26" s="4">
        <v>7461</v>
      </c>
      <c r="C26" s="2">
        <v>5559</v>
      </c>
      <c r="D26" s="2">
        <v>940</v>
      </c>
      <c r="E26" s="2">
        <v>537</v>
      </c>
      <c r="F26" s="2">
        <v>4530</v>
      </c>
      <c r="G26" s="27">
        <v>2929</v>
      </c>
      <c r="H26" s="34">
        <f t="shared" ref="H26:H34" si="3">SUM(B26:G26)</f>
        <v>21956</v>
      </c>
      <c r="I26" s="4">
        <v>117</v>
      </c>
      <c r="J26" s="23">
        <f t="shared" ref="J26:J34" si="4">H26+I26</f>
        <v>22073</v>
      </c>
    </row>
    <row r="27" spans="1:10" x14ac:dyDescent="0.25">
      <c r="A27" s="18" t="s">
        <v>19</v>
      </c>
      <c r="B27" s="4">
        <v>21815</v>
      </c>
      <c r="C27" s="2">
        <v>15497</v>
      </c>
      <c r="D27" s="2">
        <v>3697</v>
      </c>
      <c r="E27" s="2">
        <v>1075</v>
      </c>
      <c r="F27" s="2">
        <v>14830</v>
      </c>
      <c r="G27" s="27">
        <v>8450</v>
      </c>
      <c r="H27" s="34">
        <f t="shared" si="3"/>
        <v>65364</v>
      </c>
      <c r="I27" s="4">
        <v>683</v>
      </c>
      <c r="J27" s="23">
        <f t="shared" si="4"/>
        <v>66047</v>
      </c>
    </row>
    <row r="28" spans="1:10" x14ac:dyDescent="0.25">
      <c r="A28" s="18" t="s">
        <v>20</v>
      </c>
      <c r="B28" s="4">
        <v>39536</v>
      </c>
      <c r="C28" s="2">
        <v>19522</v>
      </c>
      <c r="D28" s="2">
        <v>10534</v>
      </c>
      <c r="E28" s="2">
        <v>2251</v>
      </c>
      <c r="F28" s="2">
        <v>18623</v>
      </c>
      <c r="G28" s="27">
        <v>12187</v>
      </c>
      <c r="H28" s="34">
        <f t="shared" si="3"/>
        <v>102653</v>
      </c>
      <c r="I28" s="4">
        <v>1314</v>
      </c>
      <c r="J28" s="23">
        <f t="shared" si="4"/>
        <v>103967</v>
      </c>
    </row>
    <row r="29" spans="1:10" x14ac:dyDescent="0.25">
      <c r="A29" s="18" t="s">
        <v>21</v>
      </c>
      <c r="B29" s="4">
        <v>64198</v>
      </c>
      <c r="C29" s="2">
        <v>29044</v>
      </c>
      <c r="D29" s="2">
        <v>13440</v>
      </c>
      <c r="E29" s="2">
        <v>4579</v>
      </c>
      <c r="F29" s="2">
        <v>18776</v>
      </c>
      <c r="G29" s="27">
        <v>9913</v>
      </c>
      <c r="H29" s="34">
        <f t="shared" si="3"/>
        <v>139950</v>
      </c>
      <c r="I29" s="4">
        <v>1747</v>
      </c>
      <c r="J29" s="23">
        <f t="shared" si="4"/>
        <v>141697</v>
      </c>
    </row>
    <row r="30" spans="1:10" x14ac:dyDescent="0.25">
      <c r="A30" s="18" t="s">
        <v>22</v>
      </c>
      <c r="B30" s="4">
        <v>90743</v>
      </c>
      <c r="C30" s="2">
        <v>57955</v>
      </c>
      <c r="D30" s="2">
        <v>7681</v>
      </c>
      <c r="E30" s="2">
        <v>6352</v>
      </c>
      <c r="F30" s="2">
        <v>16270</v>
      </c>
      <c r="G30" s="27">
        <v>15802</v>
      </c>
      <c r="H30" s="34">
        <f t="shared" si="3"/>
        <v>194803</v>
      </c>
      <c r="I30" s="4">
        <v>2103</v>
      </c>
      <c r="J30" s="23">
        <f t="shared" si="4"/>
        <v>196906</v>
      </c>
    </row>
    <row r="31" spans="1:10" x14ac:dyDescent="0.25">
      <c r="A31" s="18" t="s">
        <v>23</v>
      </c>
      <c r="B31" s="4">
        <v>40028</v>
      </c>
      <c r="C31" s="2">
        <v>17435</v>
      </c>
      <c r="D31" s="2">
        <v>4821</v>
      </c>
      <c r="E31" s="2">
        <v>14611</v>
      </c>
      <c r="F31" s="2">
        <v>13922</v>
      </c>
      <c r="G31" s="27">
        <v>3427</v>
      </c>
      <c r="H31" s="34">
        <f t="shared" si="3"/>
        <v>94244</v>
      </c>
      <c r="I31" s="4">
        <v>178</v>
      </c>
      <c r="J31" s="23">
        <f t="shared" si="4"/>
        <v>94422</v>
      </c>
    </row>
    <row r="32" spans="1:10" x14ac:dyDescent="0.25">
      <c r="A32" s="18" t="s">
        <v>24</v>
      </c>
      <c r="B32" s="4">
        <v>21316</v>
      </c>
      <c r="C32" s="2">
        <v>7972</v>
      </c>
      <c r="D32" s="2">
        <v>1304</v>
      </c>
      <c r="E32" s="2">
        <v>3339</v>
      </c>
      <c r="F32" s="2">
        <v>347</v>
      </c>
      <c r="G32" s="27">
        <v>894</v>
      </c>
      <c r="H32" s="34">
        <f t="shared" si="3"/>
        <v>35172</v>
      </c>
      <c r="I32" s="4">
        <v>14</v>
      </c>
      <c r="J32" s="23">
        <f t="shared" si="4"/>
        <v>35186</v>
      </c>
    </row>
    <row r="33" spans="1:10" s="3" customFormat="1" ht="15.75" customHeight="1" x14ac:dyDescent="0.25">
      <c r="A33" s="18" t="s">
        <v>25</v>
      </c>
      <c r="B33" s="2">
        <v>17009</v>
      </c>
      <c r="C33" s="2">
        <v>7606</v>
      </c>
      <c r="D33" s="2">
        <v>842</v>
      </c>
      <c r="E33" s="2">
        <v>1161</v>
      </c>
      <c r="F33" s="2">
        <v>955</v>
      </c>
      <c r="G33" s="27">
        <v>719</v>
      </c>
      <c r="H33" s="34">
        <f t="shared" si="3"/>
        <v>28292</v>
      </c>
      <c r="I33" s="4">
        <v>0</v>
      </c>
      <c r="J33" s="23">
        <f t="shared" si="4"/>
        <v>28292</v>
      </c>
    </row>
    <row r="34" spans="1:10" x14ac:dyDescent="0.25">
      <c r="A34" s="18" t="s">
        <v>60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70">
        <v>0</v>
      </c>
      <c r="H34" s="34">
        <f t="shared" si="3"/>
        <v>0</v>
      </c>
      <c r="I34" s="4">
        <v>0</v>
      </c>
      <c r="J34" s="23">
        <f t="shared" si="4"/>
        <v>0</v>
      </c>
    </row>
    <row r="35" spans="1:10" ht="15.75" thickBot="1" x14ac:dyDescent="0.3">
      <c r="A35" s="18"/>
      <c r="B35" s="9"/>
      <c r="C35" s="10"/>
      <c r="D35" s="10"/>
      <c r="E35" s="10"/>
      <c r="F35" s="10"/>
      <c r="G35" s="29"/>
      <c r="H35" s="34"/>
      <c r="I35" s="4"/>
      <c r="J35" s="23"/>
    </row>
    <row r="36" spans="1:10" ht="15.75" thickBot="1" x14ac:dyDescent="0.3">
      <c r="A36" s="22" t="s">
        <v>26</v>
      </c>
      <c r="B36" s="37">
        <f>SUM(B25:B34)</f>
        <v>304176</v>
      </c>
      <c r="C36" s="37">
        <f t="shared" ref="C36:I36" si="5">SUM(C25:C34)</f>
        <v>162138</v>
      </c>
      <c r="D36" s="37">
        <f t="shared" si="5"/>
        <v>43622</v>
      </c>
      <c r="E36" s="37">
        <f t="shared" si="5"/>
        <v>34078</v>
      </c>
      <c r="F36" s="37">
        <f t="shared" si="5"/>
        <v>90145</v>
      </c>
      <c r="G36" s="38">
        <f t="shared" si="5"/>
        <v>55294</v>
      </c>
      <c r="H36" s="31">
        <f t="shared" si="5"/>
        <v>689453</v>
      </c>
      <c r="I36" s="37">
        <f t="shared" si="5"/>
        <v>6225</v>
      </c>
      <c r="J36" s="39">
        <f>SUM(J25:J34)</f>
        <v>695678</v>
      </c>
    </row>
    <row r="37" spans="1:10" ht="16.5" thickTop="1" thickBot="1" x14ac:dyDescent="0.3">
      <c r="A37" s="11" t="s">
        <v>27</v>
      </c>
      <c r="B37" s="40">
        <f>SUM(B24,B36)</f>
        <v>349093</v>
      </c>
      <c r="C37" s="40">
        <f>SUM(C24,C36)</f>
        <v>198106</v>
      </c>
      <c r="D37" s="40">
        <f>SUM(D24,D36)</f>
        <v>58143</v>
      </c>
      <c r="E37" s="40">
        <f>SUM(E24,E36)</f>
        <v>38309</v>
      </c>
      <c r="F37" s="40">
        <f>SUM(F24,F36)</f>
        <v>105230</v>
      </c>
      <c r="G37" s="41">
        <f>SUM(G24,G36)</f>
        <v>69184</v>
      </c>
      <c r="H37" s="67">
        <f>SUM(H24,H36)</f>
        <v>818065</v>
      </c>
      <c r="I37" s="40">
        <f>SUM(I24,I36)</f>
        <v>7417</v>
      </c>
      <c r="J37" s="72">
        <f>SUM(J24,J36)</f>
        <v>825482</v>
      </c>
    </row>
    <row r="38" spans="1:10" ht="15.75" thickTop="1" x14ac:dyDescent="0.25">
      <c r="B38" s="12"/>
    </row>
    <row r="39" spans="1:10" x14ac:dyDescent="0.25">
      <c r="A39" s="1" t="s">
        <v>47</v>
      </c>
    </row>
    <row r="40" spans="1:10" x14ac:dyDescent="0.25">
      <c r="I40" s="3"/>
      <c r="J40" s="3"/>
    </row>
    <row r="41" spans="1:10" x14ac:dyDescent="0.25">
      <c r="I41" s="3"/>
      <c r="J41" s="3"/>
    </row>
  </sheetData>
  <mergeCells count="5">
    <mergeCell ref="A1:J1"/>
    <mergeCell ref="A2:J2"/>
    <mergeCell ref="A3:J3"/>
    <mergeCell ref="A4:J4"/>
    <mergeCell ref="A5:J5"/>
  </mergeCells>
  <printOptions horizontalCentered="1"/>
  <pageMargins left="0.7" right="0.7" top="0.75" bottom="0.75" header="0.3" footer="0.3"/>
  <pageSetup scale="67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1"/>
  <sheetViews>
    <sheetView topLeftCell="A7" workbookViewId="0">
      <selection activeCell="A3" sqref="A3:J3"/>
    </sheetView>
  </sheetViews>
  <sheetFormatPr defaultRowHeight="15" x14ac:dyDescent="0.25"/>
  <cols>
    <col min="1" max="1" width="40.85546875" style="1" bestFit="1" customWidth="1"/>
    <col min="2" max="10" width="15.7109375" customWidth="1"/>
  </cols>
  <sheetData>
    <row r="1" spans="1:10" ht="19.5" thickTop="1" x14ac:dyDescent="0.3">
      <c r="A1" s="48" t="s">
        <v>28</v>
      </c>
      <c r="B1" s="49"/>
      <c r="C1" s="49"/>
      <c r="D1" s="49"/>
      <c r="E1" s="49"/>
      <c r="F1" s="49"/>
      <c r="G1" s="49"/>
      <c r="H1" s="49"/>
      <c r="I1" s="49"/>
      <c r="J1" s="50"/>
    </row>
    <row r="2" spans="1:10" ht="18.75" x14ac:dyDescent="0.3">
      <c r="A2" s="51" t="s">
        <v>30</v>
      </c>
      <c r="B2" s="52"/>
      <c r="C2" s="52"/>
      <c r="D2" s="52"/>
      <c r="E2" s="52"/>
      <c r="F2" s="52"/>
      <c r="G2" s="52"/>
      <c r="H2" s="52"/>
      <c r="I2" s="52"/>
      <c r="J2" s="53"/>
    </row>
    <row r="3" spans="1:10" ht="18.75" x14ac:dyDescent="0.3">
      <c r="A3" s="54" t="s">
        <v>54</v>
      </c>
      <c r="B3" s="55"/>
      <c r="C3" s="55"/>
      <c r="D3" s="55"/>
      <c r="E3" s="55"/>
      <c r="F3" s="55"/>
      <c r="G3" s="55"/>
      <c r="H3" s="55"/>
      <c r="I3" s="55"/>
      <c r="J3" s="56"/>
    </row>
    <row r="4" spans="1:10" ht="19.5" thickBot="1" x14ac:dyDescent="0.35">
      <c r="A4" s="57"/>
      <c r="B4" s="58"/>
      <c r="C4" s="58"/>
      <c r="D4" s="58"/>
      <c r="E4" s="58"/>
      <c r="F4" s="58"/>
      <c r="G4" s="58"/>
      <c r="H4" s="58"/>
      <c r="I4" s="58"/>
      <c r="J4" s="59"/>
    </row>
    <row r="5" spans="1:10" ht="15.75" thickBot="1" x14ac:dyDescent="0.3">
      <c r="A5" s="60"/>
      <c r="B5" s="61"/>
      <c r="C5" s="61"/>
      <c r="D5" s="61"/>
      <c r="E5" s="61"/>
      <c r="F5" s="61"/>
      <c r="G5" s="61"/>
      <c r="H5" s="61"/>
      <c r="I5" s="61"/>
      <c r="J5" s="62"/>
    </row>
    <row r="6" spans="1:10" s="13" customFormat="1" ht="30.75" thickBot="1" x14ac:dyDescent="0.3">
      <c r="A6" s="16" t="s">
        <v>0</v>
      </c>
      <c r="B6" s="14" t="s">
        <v>31</v>
      </c>
      <c r="C6" s="15" t="s">
        <v>32</v>
      </c>
      <c r="D6" s="15" t="s">
        <v>33</v>
      </c>
      <c r="E6" s="15" t="s">
        <v>34</v>
      </c>
      <c r="F6" s="15" t="s">
        <v>35</v>
      </c>
      <c r="G6" s="25" t="s">
        <v>36</v>
      </c>
      <c r="H6" s="33" t="s">
        <v>37</v>
      </c>
      <c r="I6" s="30" t="s">
        <v>41</v>
      </c>
      <c r="J6" s="17" t="s">
        <v>39</v>
      </c>
    </row>
    <row r="7" spans="1:10" ht="15.75" thickTop="1" x14ac:dyDescent="0.25">
      <c r="A7" s="18" t="s">
        <v>1</v>
      </c>
      <c r="B7" s="5">
        <v>1</v>
      </c>
      <c r="C7" s="6">
        <v>0</v>
      </c>
      <c r="D7" s="6">
        <v>0</v>
      </c>
      <c r="E7" s="6">
        <v>0</v>
      </c>
      <c r="F7" s="6">
        <v>0</v>
      </c>
      <c r="G7" s="26">
        <v>0</v>
      </c>
      <c r="H7" s="34">
        <f>SUM(B7:G7)</f>
        <v>1</v>
      </c>
      <c r="I7" s="5">
        <v>0</v>
      </c>
      <c r="J7" s="19">
        <f>SUM(H7,I7)</f>
        <v>1</v>
      </c>
    </row>
    <row r="8" spans="1:10" x14ac:dyDescent="0.25">
      <c r="A8" s="18" t="s">
        <v>2</v>
      </c>
      <c r="B8" s="4">
        <v>1</v>
      </c>
      <c r="C8" s="2">
        <v>0</v>
      </c>
      <c r="D8" s="2">
        <v>0</v>
      </c>
      <c r="E8" s="2">
        <v>0</v>
      </c>
      <c r="F8" s="2">
        <v>4</v>
      </c>
      <c r="G8" s="27">
        <v>0</v>
      </c>
      <c r="H8" s="34">
        <f t="shared" ref="H8:H21" si="0">SUM(B8:G8)</f>
        <v>5</v>
      </c>
      <c r="I8" s="4">
        <v>0</v>
      </c>
      <c r="J8" s="19">
        <f t="shared" ref="J8:J21" si="1">SUM(H8,I8)</f>
        <v>5</v>
      </c>
    </row>
    <row r="9" spans="1:10" x14ac:dyDescent="0.25">
      <c r="A9" s="18" t="s">
        <v>3</v>
      </c>
      <c r="B9" s="4">
        <v>62</v>
      </c>
      <c r="C9" s="2">
        <v>36</v>
      </c>
      <c r="D9" s="2">
        <v>16</v>
      </c>
      <c r="E9" s="2">
        <v>6</v>
      </c>
      <c r="F9" s="2">
        <v>44</v>
      </c>
      <c r="G9" s="27">
        <v>27</v>
      </c>
      <c r="H9" s="34">
        <f t="shared" si="0"/>
        <v>191</v>
      </c>
      <c r="I9" s="4">
        <v>1</v>
      </c>
      <c r="J9" s="19">
        <f t="shared" si="1"/>
        <v>192</v>
      </c>
    </row>
    <row r="10" spans="1:10" x14ac:dyDescent="0.25">
      <c r="A10" s="18" t="s">
        <v>4</v>
      </c>
      <c r="B10" s="4">
        <v>147</v>
      </c>
      <c r="C10" s="2">
        <v>77</v>
      </c>
      <c r="D10" s="2">
        <v>29</v>
      </c>
      <c r="E10" s="2">
        <v>5</v>
      </c>
      <c r="F10" s="2">
        <v>106</v>
      </c>
      <c r="G10" s="27">
        <v>57</v>
      </c>
      <c r="H10" s="34">
        <f t="shared" si="0"/>
        <v>421</v>
      </c>
      <c r="I10" s="4">
        <v>1</v>
      </c>
      <c r="J10" s="19">
        <f t="shared" si="1"/>
        <v>422</v>
      </c>
    </row>
    <row r="11" spans="1:10" x14ac:dyDescent="0.25">
      <c r="A11" s="18" t="s">
        <v>5</v>
      </c>
      <c r="B11" s="4">
        <v>1486</v>
      </c>
      <c r="C11" s="2">
        <v>1894</v>
      </c>
      <c r="D11" s="2">
        <v>1235</v>
      </c>
      <c r="E11" s="2">
        <v>317</v>
      </c>
      <c r="F11" s="2">
        <v>993</v>
      </c>
      <c r="G11" s="27">
        <v>1096</v>
      </c>
      <c r="H11" s="34">
        <f t="shared" si="0"/>
        <v>7021</v>
      </c>
      <c r="I11" s="4">
        <v>41</v>
      </c>
      <c r="J11" s="19">
        <f t="shared" si="1"/>
        <v>7062</v>
      </c>
    </row>
    <row r="12" spans="1:10" x14ac:dyDescent="0.25">
      <c r="A12" s="18" t="s">
        <v>6</v>
      </c>
      <c r="B12" s="4">
        <v>3620</v>
      </c>
      <c r="C12" s="2">
        <v>5334</v>
      </c>
      <c r="D12" s="2">
        <v>3072</v>
      </c>
      <c r="E12" s="2">
        <v>824</v>
      </c>
      <c r="F12" s="2">
        <v>3907</v>
      </c>
      <c r="G12" s="27">
        <v>3956</v>
      </c>
      <c r="H12" s="34">
        <f t="shared" si="0"/>
        <v>20713</v>
      </c>
      <c r="I12" s="4">
        <v>153</v>
      </c>
      <c r="J12" s="19">
        <f t="shared" si="1"/>
        <v>20866</v>
      </c>
    </row>
    <row r="13" spans="1:10" x14ac:dyDescent="0.25">
      <c r="A13" s="18" t="s">
        <v>7</v>
      </c>
      <c r="B13" s="4">
        <v>6557</v>
      </c>
      <c r="C13" s="2">
        <v>6906</v>
      </c>
      <c r="D13" s="2">
        <v>4566</v>
      </c>
      <c r="E13" s="2">
        <v>1137</v>
      </c>
      <c r="F13" s="2">
        <v>4256</v>
      </c>
      <c r="G13" s="27">
        <v>4971</v>
      </c>
      <c r="H13" s="34">
        <f t="shared" si="0"/>
        <v>28393</v>
      </c>
      <c r="I13" s="4">
        <v>299</v>
      </c>
      <c r="J13" s="19">
        <f t="shared" si="1"/>
        <v>28692</v>
      </c>
    </row>
    <row r="14" spans="1:10" x14ac:dyDescent="0.25">
      <c r="A14" s="18" t="s">
        <v>8</v>
      </c>
      <c r="B14" s="4">
        <v>10457</v>
      </c>
      <c r="C14" s="2">
        <v>10717</v>
      </c>
      <c r="D14" s="2">
        <v>4096</v>
      </c>
      <c r="E14" s="2">
        <v>1165</v>
      </c>
      <c r="F14" s="2">
        <v>3598</v>
      </c>
      <c r="G14" s="27">
        <v>2901</v>
      </c>
      <c r="H14" s="34">
        <f t="shared" si="0"/>
        <v>32934</v>
      </c>
      <c r="I14" s="4">
        <v>427</v>
      </c>
      <c r="J14" s="19">
        <f t="shared" si="1"/>
        <v>33361</v>
      </c>
    </row>
    <row r="15" spans="1:10" x14ac:dyDescent="0.25">
      <c r="A15" s="18" t="s">
        <v>9</v>
      </c>
      <c r="B15" s="4">
        <v>9344</v>
      </c>
      <c r="C15" s="2">
        <v>5398</v>
      </c>
      <c r="D15" s="2">
        <v>851</v>
      </c>
      <c r="E15" s="2">
        <v>256</v>
      </c>
      <c r="F15" s="2">
        <v>1132</v>
      </c>
      <c r="G15" s="27">
        <v>494</v>
      </c>
      <c r="H15" s="34">
        <f t="shared" si="0"/>
        <v>17475</v>
      </c>
      <c r="I15" s="4">
        <v>81</v>
      </c>
      <c r="J15" s="19">
        <f t="shared" si="1"/>
        <v>17556</v>
      </c>
    </row>
    <row r="16" spans="1:10" x14ac:dyDescent="0.25">
      <c r="A16" s="18" t="s">
        <v>10</v>
      </c>
      <c r="B16" s="4">
        <v>4701</v>
      </c>
      <c r="C16" s="2">
        <v>2888</v>
      </c>
      <c r="D16" s="2">
        <v>539</v>
      </c>
      <c r="E16" s="2">
        <v>251</v>
      </c>
      <c r="F16" s="2">
        <v>1042</v>
      </c>
      <c r="G16" s="27">
        <v>387</v>
      </c>
      <c r="H16" s="34">
        <f t="shared" si="0"/>
        <v>9808</v>
      </c>
      <c r="I16" s="4">
        <v>59</v>
      </c>
      <c r="J16" s="19">
        <f t="shared" si="1"/>
        <v>9867</v>
      </c>
    </row>
    <row r="17" spans="1:10" x14ac:dyDescent="0.25">
      <c r="A17" s="18" t="s">
        <v>11</v>
      </c>
      <c r="B17" s="4">
        <v>375</v>
      </c>
      <c r="C17" s="2">
        <v>102</v>
      </c>
      <c r="D17" s="2">
        <v>2</v>
      </c>
      <c r="E17" s="2">
        <v>10</v>
      </c>
      <c r="F17" s="2">
        <v>0</v>
      </c>
      <c r="G17" s="27">
        <v>0</v>
      </c>
      <c r="H17" s="34">
        <f t="shared" si="0"/>
        <v>489</v>
      </c>
      <c r="I17" s="4">
        <v>0</v>
      </c>
      <c r="J17" s="19">
        <f t="shared" si="1"/>
        <v>489</v>
      </c>
    </row>
    <row r="18" spans="1:10" x14ac:dyDescent="0.25">
      <c r="A18" s="18" t="s">
        <v>12</v>
      </c>
      <c r="B18" s="4">
        <v>1457</v>
      </c>
      <c r="C18" s="2">
        <v>541</v>
      </c>
      <c r="D18" s="2">
        <v>13</v>
      </c>
      <c r="E18" s="2">
        <v>43</v>
      </c>
      <c r="F18" s="2">
        <v>0</v>
      </c>
      <c r="G18" s="27">
        <v>0</v>
      </c>
      <c r="H18" s="34">
        <f t="shared" si="0"/>
        <v>2054</v>
      </c>
      <c r="I18" s="4">
        <v>18</v>
      </c>
      <c r="J18" s="19">
        <f t="shared" si="1"/>
        <v>2072</v>
      </c>
    </row>
    <row r="19" spans="1:10" x14ac:dyDescent="0.25">
      <c r="A19" s="18" t="s">
        <v>13</v>
      </c>
      <c r="B19" s="4">
        <v>2049</v>
      </c>
      <c r="C19" s="2">
        <v>844</v>
      </c>
      <c r="D19" s="2">
        <v>34</v>
      </c>
      <c r="E19" s="2">
        <v>66</v>
      </c>
      <c r="F19" s="2">
        <v>0</v>
      </c>
      <c r="G19" s="27">
        <v>0</v>
      </c>
      <c r="H19" s="34">
        <f t="shared" si="0"/>
        <v>2993</v>
      </c>
      <c r="I19" s="4">
        <v>55</v>
      </c>
      <c r="J19" s="19">
        <f t="shared" si="1"/>
        <v>3048</v>
      </c>
    </row>
    <row r="20" spans="1:10" x14ac:dyDescent="0.25">
      <c r="A20" s="18" t="s">
        <v>14</v>
      </c>
      <c r="B20" s="4">
        <v>3569</v>
      </c>
      <c r="C20" s="2">
        <v>1427</v>
      </c>
      <c r="D20" s="2">
        <v>36</v>
      </c>
      <c r="E20" s="2">
        <v>105</v>
      </c>
      <c r="F20" s="2">
        <v>0</v>
      </c>
      <c r="G20" s="27">
        <v>0</v>
      </c>
      <c r="H20" s="34">
        <f t="shared" si="0"/>
        <v>5137</v>
      </c>
      <c r="I20" s="4">
        <v>57</v>
      </c>
      <c r="J20" s="19">
        <f t="shared" si="1"/>
        <v>5194</v>
      </c>
    </row>
    <row r="21" spans="1:10" x14ac:dyDescent="0.25">
      <c r="A21" s="18" t="s">
        <v>15</v>
      </c>
      <c r="B21" s="4">
        <v>1143</v>
      </c>
      <c r="C21" s="2">
        <v>423</v>
      </c>
      <c r="D21" s="2">
        <v>0</v>
      </c>
      <c r="E21" s="2">
        <v>27</v>
      </c>
      <c r="F21" s="2">
        <v>0</v>
      </c>
      <c r="G21" s="27">
        <v>0</v>
      </c>
      <c r="H21" s="34">
        <f t="shared" si="0"/>
        <v>1593</v>
      </c>
      <c r="I21" s="4">
        <v>0</v>
      </c>
      <c r="J21" s="19">
        <f t="shared" si="1"/>
        <v>1593</v>
      </c>
    </row>
    <row r="22" spans="1:10" x14ac:dyDescent="0.25">
      <c r="A22" s="18" t="s">
        <v>59</v>
      </c>
      <c r="B22" s="4">
        <v>0</v>
      </c>
      <c r="C22" s="2">
        <v>0</v>
      </c>
      <c r="D22" s="2">
        <v>0</v>
      </c>
      <c r="E22" s="2">
        <v>0</v>
      </c>
      <c r="F22" s="2">
        <v>0</v>
      </c>
      <c r="G22" s="27">
        <v>1</v>
      </c>
      <c r="H22" s="34">
        <f>SUM(B22:G22)</f>
        <v>1</v>
      </c>
      <c r="I22" s="4">
        <v>0</v>
      </c>
      <c r="J22" s="19">
        <f>SUM(H22,I22)</f>
        <v>1</v>
      </c>
    </row>
    <row r="23" spans="1:10" ht="15.75" thickBot="1" x14ac:dyDescent="0.3">
      <c r="A23" s="20"/>
      <c r="B23" s="7"/>
      <c r="C23" s="8"/>
      <c r="D23" s="8"/>
      <c r="E23" s="8"/>
      <c r="F23" s="8"/>
      <c r="G23" s="28"/>
      <c r="H23" s="35"/>
      <c r="I23" s="7" t="s">
        <v>29</v>
      </c>
      <c r="J23" s="21"/>
    </row>
    <row r="24" spans="1:10" ht="24.95" customHeight="1" thickBot="1" x14ac:dyDescent="0.3">
      <c r="A24" s="22" t="s">
        <v>16</v>
      </c>
      <c r="B24" s="37">
        <f>SUM(B7:B22)</f>
        <v>44969</v>
      </c>
      <c r="C24" s="37">
        <f t="shared" ref="C24:J24" si="2">SUM(C7:C22)</f>
        <v>36587</v>
      </c>
      <c r="D24" s="37">
        <f t="shared" si="2"/>
        <v>14489</v>
      </c>
      <c r="E24" s="37">
        <f t="shared" si="2"/>
        <v>4212</v>
      </c>
      <c r="F24" s="37">
        <f t="shared" si="2"/>
        <v>15082</v>
      </c>
      <c r="G24" s="38">
        <f t="shared" si="2"/>
        <v>13890</v>
      </c>
      <c r="H24" s="31">
        <f t="shared" si="2"/>
        <v>129229</v>
      </c>
      <c r="I24" s="37">
        <f t="shared" si="2"/>
        <v>1192</v>
      </c>
      <c r="J24" s="66">
        <f t="shared" si="2"/>
        <v>130421</v>
      </c>
    </row>
    <row r="25" spans="1:10" x14ac:dyDescent="0.25">
      <c r="A25" s="18" t="s">
        <v>17</v>
      </c>
      <c r="B25" s="5">
        <v>2084</v>
      </c>
      <c r="C25" s="6">
        <v>1584</v>
      </c>
      <c r="D25" s="6">
        <v>366</v>
      </c>
      <c r="E25" s="6">
        <v>171</v>
      </c>
      <c r="F25" s="6">
        <v>1890</v>
      </c>
      <c r="G25" s="26">
        <v>953</v>
      </c>
      <c r="H25" s="34">
        <f>SUM(B25:G25)</f>
        <v>7048</v>
      </c>
      <c r="I25" s="5">
        <v>69</v>
      </c>
      <c r="J25" s="23">
        <f>H25+I25</f>
        <v>7117</v>
      </c>
    </row>
    <row r="26" spans="1:10" x14ac:dyDescent="0.25">
      <c r="A26" s="18" t="s">
        <v>18</v>
      </c>
      <c r="B26" s="4">
        <v>7498</v>
      </c>
      <c r="C26" s="2">
        <v>5472</v>
      </c>
      <c r="D26" s="2">
        <v>938</v>
      </c>
      <c r="E26" s="2">
        <v>534</v>
      </c>
      <c r="F26" s="2">
        <v>4553</v>
      </c>
      <c r="G26" s="27">
        <v>2934</v>
      </c>
      <c r="H26" s="34">
        <f t="shared" ref="H26:H34" si="3">SUM(B26:G26)</f>
        <v>21929</v>
      </c>
      <c r="I26" s="4">
        <v>117</v>
      </c>
      <c r="J26" s="23">
        <f t="shared" ref="J26:J34" si="4">H26+I26</f>
        <v>22046</v>
      </c>
    </row>
    <row r="27" spans="1:10" x14ac:dyDescent="0.25">
      <c r="A27" s="18" t="s">
        <v>19</v>
      </c>
      <c r="B27" s="4">
        <v>21893</v>
      </c>
      <c r="C27" s="2">
        <v>15415</v>
      </c>
      <c r="D27" s="2">
        <v>3696</v>
      </c>
      <c r="E27" s="2">
        <v>1083</v>
      </c>
      <c r="F27" s="2">
        <v>14822</v>
      </c>
      <c r="G27" s="27">
        <v>8442</v>
      </c>
      <c r="H27" s="34">
        <f t="shared" si="3"/>
        <v>65351</v>
      </c>
      <c r="I27" s="4">
        <v>683</v>
      </c>
      <c r="J27" s="23">
        <f t="shared" si="4"/>
        <v>66034</v>
      </c>
    </row>
    <row r="28" spans="1:10" x14ac:dyDescent="0.25">
      <c r="A28" s="18" t="s">
        <v>20</v>
      </c>
      <c r="B28" s="4">
        <v>39711</v>
      </c>
      <c r="C28" s="2">
        <v>19701</v>
      </c>
      <c r="D28" s="2">
        <v>10470</v>
      </c>
      <c r="E28" s="2">
        <v>2228</v>
      </c>
      <c r="F28" s="2">
        <v>18656</v>
      </c>
      <c r="G28" s="27">
        <v>12131</v>
      </c>
      <c r="H28" s="34">
        <f t="shared" si="3"/>
        <v>102897</v>
      </c>
      <c r="I28" s="4">
        <v>1314</v>
      </c>
      <c r="J28" s="23">
        <f t="shared" si="4"/>
        <v>104211</v>
      </c>
    </row>
    <row r="29" spans="1:10" x14ac:dyDescent="0.25">
      <c r="A29" s="18" t="s">
        <v>21</v>
      </c>
      <c r="B29" s="4">
        <v>64068</v>
      </c>
      <c r="C29" s="2">
        <v>28681</v>
      </c>
      <c r="D29" s="2">
        <v>13374</v>
      </c>
      <c r="E29" s="2">
        <v>4432</v>
      </c>
      <c r="F29" s="2">
        <v>18862</v>
      </c>
      <c r="G29" s="27">
        <v>10032</v>
      </c>
      <c r="H29" s="34">
        <f t="shared" si="3"/>
        <v>139449</v>
      </c>
      <c r="I29" s="4">
        <v>1747</v>
      </c>
      <c r="J29" s="23">
        <f t="shared" si="4"/>
        <v>141196</v>
      </c>
    </row>
    <row r="30" spans="1:10" x14ac:dyDescent="0.25">
      <c r="A30" s="18" t="s">
        <v>22</v>
      </c>
      <c r="B30" s="4">
        <v>90727</v>
      </c>
      <c r="C30" s="2">
        <v>58366</v>
      </c>
      <c r="D30" s="2">
        <v>7656</v>
      </c>
      <c r="E30" s="2">
        <v>6237</v>
      </c>
      <c r="F30" s="2">
        <v>16329</v>
      </c>
      <c r="G30" s="27">
        <v>15688</v>
      </c>
      <c r="H30" s="34">
        <f t="shared" si="3"/>
        <v>195003</v>
      </c>
      <c r="I30" s="4">
        <v>2103</v>
      </c>
      <c r="J30" s="23">
        <f t="shared" si="4"/>
        <v>197106</v>
      </c>
    </row>
    <row r="31" spans="1:10" x14ac:dyDescent="0.25">
      <c r="A31" s="18" t="s">
        <v>23</v>
      </c>
      <c r="B31" s="4">
        <v>40322</v>
      </c>
      <c r="C31" s="2">
        <v>17385</v>
      </c>
      <c r="D31" s="2">
        <v>4776</v>
      </c>
      <c r="E31" s="2">
        <v>14871</v>
      </c>
      <c r="F31" s="2">
        <v>13788</v>
      </c>
      <c r="G31" s="27">
        <v>3441</v>
      </c>
      <c r="H31" s="34">
        <f t="shared" si="3"/>
        <v>94583</v>
      </c>
      <c r="I31" s="4">
        <v>178</v>
      </c>
      <c r="J31" s="23">
        <f t="shared" si="4"/>
        <v>94761</v>
      </c>
    </row>
    <row r="32" spans="1:10" x14ac:dyDescent="0.25">
      <c r="A32" s="18" t="s">
        <v>24</v>
      </c>
      <c r="B32" s="4">
        <v>21501</v>
      </c>
      <c r="C32" s="2">
        <v>7937</v>
      </c>
      <c r="D32" s="2">
        <v>1292</v>
      </c>
      <c r="E32" s="2">
        <v>3268</v>
      </c>
      <c r="F32" s="2">
        <v>354</v>
      </c>
      <c r="G32" s="27">
        <v>876</v>
      </c>
      <c r="H32" s="34">
        <f t="shared" si="3"/>
        <v>35228</v>
      </c>
      <c r="I32" s="4">
        <v>14</v>
      </c>
      <c r="J32" s="23">
        <f t="shared" si="4"/>
        <v>35242</v>
      </c>
    </row>
    <row r="33" spans="1:10" x14ac:dyDescent="0.25">
      <c r="A33" s="18" t="s">
        <v>25</v>
      </c>
      <c r="B33" s="2">
        <v>16269</v>
      </c>
      <c r="C33" s="2">
        <v>7471</v>
      </c>
      <c r="D33" s="2">
        <v>802</v>
      </c>
      <c r="E33" s="2">
        <v>1177</v>
      </c>
      <c r="F33" s="2">
        <v>1025</v>
      </c>
      <c r="G33" s="27">
        <v>740</v>
      </c>
      <c r="H33" s="34">
        <f t="shared" si="3"/>
        <v>27484</v>
      </c>
      <c r="I33" s="4">
        <v>0</v>
      </c>
      <c r="J33" s="23">
        <f t="shared" si="4"/>
        <v>27484</v>
      </c>
    </row>
    <row r="34" spans="1:10" s="3" customFormat="1" ht="15.75" customHeight="1" x14ac:dyDescent="0.25">
      <c r="A34" s="18" t="s">
        <v>60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70">
        <v>0</v>
      </c>
      <c r="H34" s="34">
        <f t="shared" si="3"/>
        <v>0</v>
      </c>
      <c r="I34" s="4">
        <v>0</v>
      </c>
      <c r="J34" s="23">
        <f t="shared" si="4"/>
        <v>0</v>
      </c>
    </row>
    <row r="35" spans="1:10" ht="15.75" thickBot="1" x14ac:dyDescent="0.3">
      <c r="A35" s="18"/>
      <c r="B35" s="9"/>
      <c r="C35" s="10"/>
      <c r="D35" s="10"/>
      <c r="E35" s="10"/>
      <c r="F35" s="10"/>
      <c r="G35" s="29"/>
      <c r="H35" s="34"/>
      <c r="I35" s="4"/>
      <c r="J35" s="23"/>
    </row>
    <row r="36" spans="1:10" ht="15.75" thickBot="1" x14ac:dyDescent="0.3">
      <c r="A36" s="22" t="s">
        <v>26</v>
      </c>
      <c r="B36" s="37">
        <f>SUM(B25:B34)</f>
        <v>304073</v>
      </c>
      <c r="C36" s="37">
        <f t="shared" ref="C36:J36" si="5">SUM(C25:C34)</f>
        <v>162012</v>
      </c>
      <c r="D36" s="37">
        <f t="shared" si="5"/>
        <v>43370</v>
      </c>
      <c r="E36" s="37">
        <f t="shared" si="5"/>
        <v>34001</v>
      </c>
      <c r="F36" s="37">
        <f t="shared" si="5"/>
        <v>90279</v>
      </c>
      <c r="G36" s="38">
        <f t="shared" si="5"/>
        <v>55237</v>
      </c>
      <c r="H36" s="31">
        <f t="shared" si="5"/>
        <v>688972</v>
      </c>
      <c r="I36" s="37">
        <f t="shared" si="5"/>
        <v>6225</v>
      </c>
      <c r="J36" s="66">
        <f t="shared" si="5"/>
        <v>695197</v>
      </c>
    </row>
    <row r="37" spans="1:10" ht="16.5" thickTop="1" thickBot="1" x14ac:dyDescent="0.3">
      <c r="A37" s="11" t="s">
        <v>27</v>
      </c>
      <c r="B37" s="40">
        <f>SUM(B24,B36)</f>
        <v>349042</v>
      </c>
      <c r="C37" s="40">
        <f>SUM(C24,C36)</f>
        <v>198599</v>
      </c>
      <c r="D37" s="40">
        <f>SUM(D24,D36)</f>
        <v>57859</v>
      </c>
      <c r="E37" s="40">
        <f>SUM(E24,E36)</f>
        <v>38213</v>
      </c>
      <c r="F37" s="40">
        <f>SUM(F24,F36)</f>
        <v>105361</v>
      </c>
      <c r="G37" s="41">
        <f>SUM(G24,G36)</f>
        <v>69127</v>
      </c>
      <c r="H37" s="67">
        <f>SUM(H24,H36)</f>
        <v>818201</v>
      </c>
      <c r="I37" s="40">
        <f>SUM(I24,I36)</f>
        <v>7417</v>
      </c>
      <c r="J37" s="42">
        <f>SUM(J24,J36)</f>
        <v>825618</v>
      </c>
    </row>
    <row r="38" spans="1:10" ht="15.75" thickTop="1" x14ac:dyDescent="0.25">
      <c r="B38" s="12"/>
    </row>
    <row r="39" spans="1:10" x14ac:dyDescent="0.25">
      <c r="A39" s="1" t="s">
        <v>55</v>
      </c>
    </row>
    <row r="40" spans="1:10" x14ac:dyDescent="0.25">
      <c r="I40" s="3"/>
      <c r="J40" s="3"/>
    </row>
    <row r="41" spans="1:10" x14ac:dyDescent="0.25">
      <c r="I41" s="3"/>
      <c r="J41" s="3"/>
    </row>
  </sheetData>
  <mergeCells count="5">
    <mergeCell ref="A1:J1"/>
    <mergeCell ref="A2:J2"/>
    <mergeCell ref="A3:J3"/>
    <mergeCell ref="A4:J4"/>
    <mergeCell ref="A5:J5"/>
  </mergeCells>
  <printOptions horizontalCentered="1"/>
  <pageMargins left="0.7" right="0.7" top="0.75" bottom="0.75" header="0.3" footer="0.3"/>
  <pageSetup scale="67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1"/>
  <sheetViews>
    <sheetView topLeftCell="A7" workbookViewId="0">
      <selection activeCell="A3" sqref="A3:J3"/>
    </sheetView>
  </sheetViews>
  <sheetFormatPr defaultRowHeight="15" x14ac:dyDescent="0.25"/>
  <cols>
    <col min="1" max="1" width="40.85546875" style="1" bestFit="1" customWidth="1"/>
    <col min="2" max="10" width="15.7109375" customWidth="1"/>
  </cols>
  <sheetData>
    <row r="1" spans="1:10" ht="19.5" thickTop="1" x14ac:dyDescent="0.3">
      <c r="A1" s="48" t="s">
        <v>28</v>
      </c>
      <c r="B1" s="49"/>
      <c r="C1" s="49"/>
      <c r="D1" s="49"/>
      <c r="E1" s="49"/>
      <c r="F1" s="49"/>
      <c r="G1" s="49"/>
      <c r="H1" s="49"/>
      <c r="I1" s="49"/>
      <c r="J1" s="50"/>
    </row>
    <row r="2" spans="1:10" ht="18.75" x14ac:dyDescent="0.3">
      <c r="A2" s="51" t="s">
        <v>30</v>
      </c>
      <c r="B2" s="52"/>
      <c r="C2" s="52"/>
      <c r="D2" s="52"/>
      <c r="E2" s="52"/>
      <c r="F2" s="52"/>
      <c r="G2" s="52"/>
      <c r="H2" s="52"/>
      <c r="I2" s="52"/>
      <c r="J2" s="53"/>
    </row>
    <row r="3" spans="1:10" ht="18.75" x14ac:dyDescent="0.3">
      <c r="A3" s="63">
        <v>42185</v>
      </c>
      <c r="B3" s="64"/>
      <c r="C3" s="64"/>
      <c r="D3" s="64"/>
      <c r="E3" s="64"/>
      <c r="F3" s="64"/>
      <c r="G3" s="64"/>
      <c r="H3" s="64"/>
      <c r="I3" s="64"/>
      <c r="J3" s="65"/>
    </row>
    <row r="4" spans="1:10" ht="19.5" thickBot="1" x14ac:dyDescent="0.35">
      <c r="A4" s="57"/>
      <c r="B4" s="58"/>
      <c r="C4" s="58"/>
      <c r="D4" s="58"/>
      <c r="E4" s="58"/>
      <c r="F4" s="58"/>
      <c r="G4" s="58"/>
      <c r="H4" s="58"/>
      <c r="I4" s="58"/>
      <c r="J4" s="59"/>
    </row>
    <row r="5" spans="1:10" ht="15.75" thickBot="1" x14ac:dyDescent="0.3">
      <c r="A5" s="60"/>
      <c r="B5" s="61"/>
      <c r="C5" s="61"/>
      <c r="D5" s="61"/>
      <c r="E5" s="61"/>
      <c r="F5" s="61"/>
      <c r="G5" s="61"/>
      <c r="H5" s="61"/>
      <c r="I5" s="61"/>
      <c r="J5" s="62"/>
    </row>
    <row r="6" spans="1:10" s="13" customFormat="1" ht="30.75" thickBot="1" x14ac:dyDescent="0.3">
      <c r="A6" s="16" t="s">
        <v>0</v>
      </c>
      <c r="B6" s="14" t="s">
        <v>31</v>
      </c>
      <c r="C6" s="15" t="s">
        <v>32</v>
      </c>
      <c r="D6" s="15" t="s">
        <v>33</v>
      </c>
      <c r="E6" s="15" t="s">
        <v>34</v>
      </c>
      <c r="F6" s="15" t="s">
        <v>35</v>
      </c>
      <c r="G6" s="25" t="s">
        <v>36</v>
      </c>
      <c r="H6" s="33" t="s">
        <v>37</v>
      </c>
      <c r="I6" s="30" t="s">
        <v>41</v>
      </c>
      <c r="J6" s="17" t="s">
        <v>39</v>
      </c>
    </row>
    <row r="7" spans="1:10" ht="15.75" thickTop="1" x14ac:dyDescent="0.25">
      <c r="A7" s="18" t="s">
        <v>1</v>
      </c>
      <c r="B7" s="5">
        <v>1</v>
      </c>
      <c r="C7" s="6">
        <v>0</v>
      </c>
      <c r="D7" s="6">
        <v>0</v>
      </c>
      <c r="E7" s="6">
        <v>0</v>
      </c>
      <c r="F7" s="6">
        <v>0</v>
      </c>
      <c r="G7" s="26">
        <v>0</v>
      </c>
      <c r="H7" s="34">
        <f>SUM(B7:G7)</f>
        <v>1</v>
      </c>
      <c r="I7" s="5">
        <v>0</v>
      </c>
      <c r="J7" s="19">
        <f>SUM(H7,I7)</f>
        <v>1</v>
      </c>
    </row>
    <row r="8" spans="1:10" x14ac:dyDescent="0.25">
      <c r="A8" s="18" t="s">
        <v>2</v>
      </c>
      <c r="B8" s="4">
        <v>1</v>
      </c>
      <c r="C8" s="2">
        <v>0</v>
      </c>
      <c r="D8" s="2">
        <v>0</v>
      </c>
      <c r="E8" s="2">
        <v>0</v>
      </c>
      <c r="F8" s="2">
        <v>4</v>
      </c>
      <c r="G8" s="27">
        <v>0</v>
      </c>
      <c r="H8" s="34">
        <f t="shared" ref="H8:H21" si="0">SUM(B8:G8)</f>
        <v>5</v>
      </c>
      <c r="I8" s="4">
        <v>0</v>
      </c>
      <c r="J8" s="19">
        <f t="shared" ref="J8:J21" si="1">SUM(H8,I8)</f>
        <v>5</v>
      </c>
    </row>
    <row r="9" spans="1:10" x14ac:dyDescent="0.25">
      <c r="A9" s="18" t="s">
        <v>3</v>
      </c>
      <c r="B9" s="4">
        <v>62</v>
      </c>
      <c r="C9" s="2">
        <v>36</v>
      </c>
      <c r="D9" s="2">
        <v>16</v>
      </c>
      <c r="E9" s="2">
        <v>6</v>
      </c>
      <c r="F9" s="2">
        <v>44</v>
      </c>
      <c r="G9" s="27">
        <v>26</v>
      </c>
      <c r="H9" s="34">
        <f t="shared" si="0"/>
        <v>190</v>
      </c>
      <c r="I9" s="4">
        <v>1</v>
      </c>
      <c r="J9" s="19">
        <f t="shared" si="1"/>
        <v>191</v>
      </c>
    </row>
    <row r="10" spans="1:10" x14ac:dyDescent="0.25">
      <c r="A10" s="18" t="s">
        <v>4</v>
      </c>
      <c r="B10" s="4">
        <v>147</v>
      </c>
      <c r="C10" s="2">
        <v>76</v>
      </c>
      <c r="D10" s="2">
        <v>29</v>
      </c>
      <c r="E10" s="2">
        <v>6</v>
      </c>
      <c r="F10" s="2">
        <v>102</v>
      </c>
      <c r="G10" s="27">
        <v>55</v>
      </c>
      <c r="H10" s="34">
        <f t="shared" si="0"/>
        <v>415</v>
      </c>
      <c r="I10" s="4">
        <v>1</v>
      </c>
      <c r="J10" s="19">
        <f t="shared" si="1"/>
        <v>416</v>
      </c>
    </row>
    <row r="11" spans="1:10" x14ac:dyDescent="0.25">
      <c r="A11" s="18" t="s">
        <v>5</v>
      </c>
      <c r="B11" s="4">
        <v>1435</v>
      </c>
      <c r="C11" s="2">
        <v>1785</v>
      </c>
      <c r="D11" s="2">
        <v>1240</v>
      </c>
      <c r="E11" s="2">
        <v>312</v>
      </c>
      <c r="F11" s="2">
        <v>987</v>
      </c>
      <c r="G11" s="27">
        <v>1078</v>
      </c>
      <c r="H11" s="34">
        <f t="shared" si="0"/>
        <v>6837</v>
      </c>
      <c r="I11" s="4">
        <v>41</v>
      </c>
      <c r="J11" s="19">
        <f t="shared" si="1"/>
        <v>6878</v>
      </c>
    </row>
    <row r="12" spans="1:10" x14ac:dyDescent="0.25">
      <c r="A12" s="18" t="s">
        <v>6</v>
      </c>
      <c r="B12" s="4">
        <v>3604</v>
      </c>
      <c r="C12" s="2">
        <v>5271</v>
      </c>
      <c r="D12" s="2">
        <v>3099</v>
      </c>
      <c r="E12" s="2">
        <v>815</v>
      </c>
      <c r="F12" s="2">
        <v>3857</v>
      </c>
      <c r="G12" s="27">
        <v>3850</v>
      </c>
      <c r="H12" s="34">
        <f t="shared" si="0"/>
        <v>20496</v>
      </c>
      <c r="I12" s="4">
        <v>153</v>
      </c>
      <c r="J12" s="19">
        <f t="shared" si="1"/>
        <v>20649</v>
      </c>
    </row>
    <row r="13" spans="1:10" x14ac:dyDescent="0.25">
      <c r="A13" s="18" t="s">
        <v>7</v>
      </c>
      <c r="B13" s="4">
        <v>6632</v>
      </c>
      <c r="C13" s="2">
        <v>6895</v>
      </c>
      <c r="D13" s="2">
        <v>4588</v>
      </c>
      <c r="E13" s="2">
        <v>1147</v>
      </c>
      <c r="F13" s="2">
        <v>4271</v>
      </c>
      <c r="G13" s="27">
        <v>5096</v>
      </c>
      <c r="H13" s="34">
        <f t="shared" si="0"/>
        <v>28629</v>
      </c>
      <c r="I13" s="4">
        <v>299</v>
      </c>
      <c r="J13" s="19">
        <f t="shared" si="1"/>
        <v>28928</v>
      </c>
    </row>
    <row r="14" spans="1:10" x14ac:dyDescent="0.25">
      <c r="A14" s="18" t="s">
        <v>8</v>
      </c>
      <c r="B14" s="4">
        <v>10521</v>
      </c>
      <c r="C14" s="2">
        <v>10949</v>
      </c>
      <c r="D14" s="2">
        <v>4063</v>
      </c>
      <c r="E14" s="2">
        <v>1174</v>
      </c>
      <c r="F14" s="2">
        <v>3588</v>
      </c>
      <c r="G14" s="27">
        <v>2835</v>
      </c>
      <c r="H14" s="34">
        <f t="shared" si="0"/>
        <v>33130</v>
      </c>
      <c r="I14" s="4">
        <v>427</v>
      </c>
      <c r="J14" s="19">
        <f t="shared" si="1"/>
        <v>33557</v>
      </c>
    </row>
    <row r="15" spans="1:10" x14ac:dyDescent="0.25">
      <c r="A15" s="18" t="s">
        <v>9</v>
      </c>
      <c r="B15" s="4">
        <v>9144</v>
      </c>
      <c r="C15" s="2">
        <v>5375</v>
      </c>
      <c r="D15" s="2">
        <v>847</v>
      </c>
      <c r="E15" s="2">
        <v>245</v>
      </c>
      <c r="F15" s="2">
        <v>1145</v>
      </c>
      <c r="G15" s="27">
        <v>521</v>
      </c>
      <c r="H15" s="34">
        <f t="shared" si="0"/>
        <v>17277</v>
      </c>
      <c r="I15" s="4">
        <v>81</v>
      </c>
      <c r="J15" s="19">
        <f t="shared" si="1"/>
        <v>17358</v>
      </c>
    </row>
    <row r="16" spans="1:10" x14ac:dyDescent="0.25">
      <c r="A16" s="18" t="s">
        <v>10</v>
      </c>
      <c r="B16" s="4">
        <v>4977</v>
      </c>
      <c r="C16" s="2">
        <v>2853</v>
      </c>
      <c r="D16" s="2">
        <v>502</v>
      </c>
      <c r="E16" s="2">
        <v>244</v>
      </c>
      <c r="F16" s="2">
        <v>1101</v>
      </c>
      <c r="G16" s="27">
        <v>391</v>
      </c>
      <c r="H16" s="34">
        <f t="shared" si="0"/>
        <v>10068</v>
      </c>
      <c r="I16" s="4">
        <v>59</v>
      </c>
      <c r="J16" s="19">
        <f t="shared" si="1"/>
        <v>10127</v>
      </c>
    </row>
    <row r="17" spans="1:10" x14ac:dyDescent="0.25">
      <c r="A17" s="18" t="s">
        <v>11</v>
      </c>
      <c r="B17" s="4">
        <v>379</v>
      </c>
      <c r="C17" s="2">
        <v>104</v>
      </c>
      <c r="D17" s="2">
        <v>2</v>
      </c>
      <c r="E17" s="2">
        <v>9</v>
      </c>
      <c r="F17" s="2">
        <v>0</v>
      </c>
      <c r="G17" s="27">
        <v>0</v>
      </c>
      <c r="H17" s="34">
        <f t="shared" si="0"/>
        <v>494</v>
      </c>
      <c r="I17" s="4">
        <v>0</v>
      </c>
      <c r="J17" s="19">
        <f t="shared" si="1"/>
        <v>494</v>
      </c>
    </row>
    <row r="18" spans="1:10" x14ac:dyDescent="0.25">
      <c r="A18" s="18" t="s">
        <v>12</v>
      </c>
      <c r="B18" s="4">
        <v>1451</v>
      </c>
      <c r="C18" s="2">
        <v>535</v>
      </c>
      <c r="D18" s="2">
        <v>13</v>
      </c>
      <c r="E18" s="2">
        <v>45</v>
      </c>
      <c r="F18" s="2">
        <v>0</v>
      </c>
      <c r="G18" s="27">
        <v>0</v>
      </c>
      <c r="H18" s="34">
        <f t="shared" si="0"/>
        <v>2044</v>
      </c>
      <c r="I18" s="4">
        <v>18</v>
      </c>
      <c r="J18" s="19">
        <f t="shared" si="1"/>
        <v>2062</v>
      </c>
    </row>
    <row r="19" spans="1:10" x14ac:dyDescent="0.25">
      <c r="A19" s="18" t="s">
        <v>13</v>
      </c>
      <c r="B19" s="4">
        <v>2051</v>
      </c>
      <c r="C19" s="2">
        <v>840</v>
      </c>
      <c r="D19" s="2">
        <v>34</v>
      </c>
      <c r="E19" s="2">
        <v>65</v>
      </c>
      <c r="F19" s="2">
        <v>0</v>
      </c>
      <c r="G19" s="27">
        <v>0</v>
      </c>
      <c r="H19" s="34">
        <f t="shared" si="0"/>
        <v>2990</v>
      </c>
      <c r="I19" s="4">
        <v>55</v>
      </c>
      <c r="J19" s="19">
        <f t="shared" si="1"/>
        <v>3045</v>
      </c>
    </row>
    <row r="20" spans="1:10" x14ac:dyDescent="0.25">
      <c r="A20" s="18" t="s">
        <v>14</v>
      </c>
      <c r="B20" s="4">
        <v>3588</v>
      </c>
      <c r="C20" s="2">
        <v>1433</v>
      </c>
      <c r="D20" s="2">
        <v>36</v>
      </c>
      <c r="E20" s="2">
        <v>106</v>
      </c>
      <c r="F20" s="2">
        <v>0</v>
      </c>
      <c r="G20" s="27">
        <v>0</v>
      </c>
      <c r="H20" s="34">
        <f t="shared" si="0"/>
        <v>5163</v>
      </c>
      <c r="I20" s="4">
        <v>57</v>
      </c>
      <c r="J20" s="19">
        <f t="shared" si="1"/>
        <v>5220</v>
      </c>
    </row>
    <row r="21" spans="1:10" x14ac:dyDescent="0.25">
      <c r="A21" s="18" t="s">
        <v>15</v>
      </c>
      <c r="B21" s="4">
        <v>1107</v>
      </c>
      <c r="C21" s="2">
        <v>409</v>
      </c>
      <c r="D21" s="2">
        <v>0</v>
      </c>
      <c r="E21" s="2">
        <v>27</v>
      </c>
      <c r="F21" s="2">
        <v>0</v>
      </c>
      <c r="G21" s="27">
        <v>0</v>
      </c>
      <c r="H21" s="34">
        <f t="shared" si="0"/>
        <v>1543</v>
      </c>
      <c r="I21" s="4">
        <v>0</v>
      </c>
      <c r="J21" s="19">
        <f t="shared" si="1"/>
        <v>1543</v>
      </c>
    </row>
    <row r="22" spans="1:10" x14ac:dyDescent="0.25">
      <c r="A22" s="18" t="s">
        <v>59</v>
      </c>
      <c r="B22" s="4">
        <v>1</v>
      </c>
      <c r="C22" s="2">
        <v>0</v>
      </c>
      <c r="D22" s="2">
        <v>0</v>
      </c>
      <c r="E22" s="2">
        <v>0</v>
      </c>
      <c r="F22" s="2">
        <v>0</v>
      </c>
      <c r="G22" s="27">
        <v>0</v>
      </c>
      <c r="H22" s="34">
        <f>SUM(B22:G22)</f>
        <v>1</v>
      </c>
      <c r="I22" s="4">
        <v>0</v>
      </c>
      <c r="J22" s="19">
        <f>SUM(H22,I22)</f>
        <v>1</v>
      </c>
    </row>
    <row r="23" spans="1:10" ht="15.75" thickBot="1" x14ac:dyDescent="0.3">
      <c r="A23" s="20"/>
      <c r="B23" s="7"/>
      <c r="C23" s="8"/>
      <c r="D23" s="8"/>
      <c r="E23" s="8"/>
      <c r="F23" s="8"/>
      <c r="G23" s="28"/>
      <c r="H23" s="35"/>
      <c r="I23" s="7" t="s">
        <v>29</v>
      </c>
      <c r="J23" s="21"/>
    </row>
    <row r="24" spans="1:10" ht="24.95" customHeight="1" thickBot="1" x14ac:dyDescent="0.3">
      <c r="A24" s="22" t="s">
        <v>16</v>
      </c>
      <c r="B24" s="37">
        <f>SUM(B7:B22)</f>
        <v>45101</v>
      </c>
      <c r="C24" s="37">
        <f t="shared" ref="C24:I24" si="2">SUM(C7:C22)</f>
        <v>36561</v>
      </c>
      <c r="D24" s="37">
        <f t="shared" si="2"/>
        <v>14469</v>
      </c>
      <c r="E24" s="37">
        <f t="shared" si="2"/>
        <v>4201</v>
      </c>
      <c r="F24" s="37">
        <f t="shared" si="2"/>
        <v>15099</v>
      </c>
      <c r="G24" s="38">
        <f t="shared" si="2"/>
        <v>13852</v>
      </c>
      <c r="H24" s="31">
        <f t="shared" si="2"/>
        <v>129283</v>
      </c>
      <c r="I24" s="37">
        <f t="shared" si="2"/>
        <v>1192</v>
      </c>
      <c r="J24" s="39">
        <f>SUM(J7:J23)</f>
        <v>130475</v>
      </c>
    </row>
    <row r="25" spans="1:10" x14ac:dyDescent="0.25">
      <c r="A25" s="18" t="s">
        <v>17</v>
      </c>
      <c r="B25" s="5">
        <v>2080</v>
      </c>
      <c r="C25" s="6">
        <v>1565</v>
      </c>
      <c r="D25" s="6">
        <v>364</v>
      </c>
      <c r="E25" s="6">
        <v>171</v>
      </c>
      <c r="F25" s="6">
        <v>1898</v>
      </c>
      <c r="G25" s="26">
        <v>950</v>
      </c>
      <c r="H25" s="34">
        <f>SUM(B25:G25)</f>
        <v>7028</v>
      </c>
      <c r="I25" s="5">
        <v>69</v>
      </c>
      <c r="J25" s="23">
        <f>H25+I25</f>
        <v>7097</v>
      </c>
    </row>
    <row r="26" spans="1:10" x14ac:dyDescent="0.25">
      <c r="A26" s="18" t="s">
        <v>18</v>
      </c>
      <c r="B26" s="4">
        <v>7518</v>
      </c>
      <c r="C26" s="2">
        <v>5547</v>
      </c>
      <c r="D26" s="2">
        <v>942</v>
      </c>
      <c r="E26" s="2">
        <v>535</v>
      </c>
      <c r="F26" s="2">
        <v>4555</v>
      </c>
      <c r="G26" s="27">
        <v>2922</v>
      </c>
      <c r="H26" s="34">
        <f t="shared" ref="H26:H34" si="3">SUM(B26:G26)</f>
        <v>22019</v>
      </c>
      <c r="I26" s="4">
        <v>117</v>
      </c>
      <c r="J26" s="23">
        <f t="shared" ref="J26:J34" si="4">H26+I26</f>
        <v>22136</v>
      </c>
    </row>
    <row r="27" spans="1:10" x14ac:dyDescent="0.25">
      <c r="A27" s="18" t="s">
        <v>19</v>
      </c>
      <c r="B27" s="4">
        <v>21914</v>
      </c>
      <c r="C27" s="2">
        <v>15155</v>
      </c>
      <c r="D27" s="2">
        <v>3695</v>
      </c>
      <c r="E27" s="2">
        <v>1089</v>
      </c>
      <c r="F27" s="2">
        <v>14807</v>
      </c>
      <c r="G27" s="27">
        <v>8410</v>
      </c>
      <c r="H27" s="34">
        <f t="shared" si="3"/>
        <v>65070</v>
      </c>
      <c r="I27" s="4">
        <v>683</v>
      </c>
      <c r="J27" s="23">
        <f t="shared" si="4"/>
        <v>65753</v>
      </c>
    </row>
    <row r="28" spans="1:10" x14ac:dyDescent="0.25">
      <c r="A28" s="18" t="s">
        <v>20</v>
      </c>
      <c r="B28" s="4">
        <v>39952</v>
      </c>
      <c r="C28" s="2">
        <v>19665</v>
      </c>
      <c r="D28" s="2">
        <v>10500</v>
      </c>
      <c r="E28" s="2">
        <v>2222</v>
      </c>
      <c r="F28" s="2">
        <v>18713</v>
      </c>
      <c r="G28" s="27">
        <v>12087</v>
      </c>
      <c r="H28" s="34">
        <f t="shared" si="3"/>
        <v>103139</v>
      </c>
      <c r="I28" s="4">
        <v>1314</v>
      </c>
      <c r="J28" s="23">
        <f t="shared" si="4"/>
        <v>104453</v>
      </c>
    </row>
    <row r="29" spans="1:10" x14ac:dyDescent="0.25">
      <c r="A29" s="18" t="s">
        <v>21</v>
      </c>
      <c r="B29" s="4">
        <v>64110</v>
      </c>
      <c r="C29" s="2">
        <v>29353</v>
      </c>
      <c r="D29" s="2">
        <v>13393</v>
      </c>
      <c r="E29" s="2">
        <v>4401</v>
      </c>
      <c r="F29" s="2">
        <v>19009</v>
      </c>
      <c r="G29" s="27">
        <v>10081</v>
      </c>
      <c r="H29" s="34">
        <f t="shared" si="3"/>
        <v>140347</v>
      </c>
      <c r="I29" s="4">
        <v>1747</v>
      </c>
      <c r="J29" s="23">
        <f t="shared" si="4"/>
        <v>142094</v>
      </c>
    </row>
    <row r="30" spans="1:10" x14ac:dyDescent="0.25">
      <c r="A30" s="18" t="s">
        <v>22</v>
      </c>
      <c r="B30" s="4">
        <v>90921</v>
      </c>
      <c r="C30" s="2">
        <v>58008</v>
      </c>
      <c r="D30" s="2">
        <v>7621</v>
      </c>
      <c r="E30" s="2">
        <v>6224</v>
      </c>
      <c r="F30" s="2">
        <v>16384</v>
      </c>
      <c r="G30" s="27">
        <v>15599</v>
      </c>
      <c r="H30" s="34">
        <f t="shared" si="3"/>
        <v>194757</v>
      </c>
      <c r="I30" s="4">
        <v>2103</v>
      </c>
      <c r="J30" s="23">
        <f t="shared" si="4"/>
        <v>196860</v>
      </c>
    </row>
    <row r="31" spans="1:10" x14ac:dyDescent="0.25">
      <c r="A31" s="18" t="s">
        <v>23</v>
      </c>
      <c r="B31" s="4">
        <v>40412</v>
      </c>
      <c r="C31" s="2">
        <v>17411</v>
      </c>
      <c r="D31" s="2">
        <v>4746</v>
      </c>
      <c r="E31" s="2">
        <v>14957</v>
      </c>
      <c r="F31" s="2">
        <v>14067</v>
      </c>
      <c r="G31" s="27">
        <v>3408</v>
      </c>
      <c r="H31" s="34">
        <f t="shared" si="3"/>
        <v>95001</v>
      </c>
      <c r="I31" s="4">
        <v>178</v>
      </c>
      <c r="J31" s="23">
        <f t="shared" si="4"/>
        <v>95179</v>
      </c>
    </row>
    <row r="32" spans="1:10" x14ac:dyDescent="0.25">
      <c r="A32" s="18" t="s">
        <v>24</v>
      </c>
      <c r="B32" s="4">
        <v>21454</v>
      </c>
      <c r="C32" s="2">
        <v>7680</v>
      </c>
      <c r="D32" s="2">
        <v>1238</v>
      </c>
      <c r="E32" s="2">
        <v>3473</v>
      </c>
      <c r="F32" s="2">
        <v>356</v>
      </c>
      <c r="G32" s="27">
        <v>833</v>
      </c>
      <c r="H32" s="34">
        <f t="shared" si="3"/>
        <v>35034</v>
      </c>
      <c r="I32" s="4">
        <v>14</v>
      </c>
      <c r="J32" s="23">
        <f t="shared" si="4"/>
        <v>35048</v>
      </c>
    </row>
    <row r="33" spans="1:10" x14ac:dyDescent="0.25">
      <c r="A33" s="18" t="s">
        <v>25</v>
      </c>
      <c r="B33" s="2">
        <v>15727</v>
      </c>
      <c r="C33" s="2">
        <v>7683</v>
      </c>
      <c r="D33" s="2">
        <v>771</v>
      </c>
      <c r="E33" s="2">
        <v>1431</v>
      </c>
      <c r="F33" s="2">
        <v>746</v>
      </c>
      <c r="G33" s="27">
        <v>737</v>
      </c>
      <c r="H33" s="34">
        <f t="shared" si="3"/>
        <v>27095</v>
      </c>
      <c r="I33" s="4">
        <v>0</v>
      </c>
      <c r="J33" s="23">
        <f t="shared" si="4"/>
        <v>27095</v>
      </c>
    </row>
    <row r="34" spans="1:10" x14ac:dyDescent="0.25">
      <c r="A34" s="18" t="s">
        <v>60</v>
      </c>
      <c r="B34" s="2">
        <v>0</v>
      </c>
      <c r="C34" s="2">
        <v>0</v>
      </c>
      <c r="D34" s="2">
        <v>0</v>
      </c>
      <c r="E34" s="2">
        <v>0</v>
      </c>
      <c r="F34" s="2">
        <v>1</v>
      </c>
      <c r="G34" s="27">
        <v>0</v>
      </c>
      <c r="H34" s="44">
        <f t="shared" si="3"/>
        <v>1</v>
      </c>
      <c r="I34" s="4">
        <v>0</v>
      </c>
      <c r="J34" s="45">
        <f t="shared" si="4"/>
        <v>1</v>
      </c>
    </row>
    <row r="35" spans="1:10" ht="15.75" thickBot="1" x14ac:dyDescent="0.3">
      <c r="A35" s="18"/>
      <c r="B35" s="9"/>
      <c r="C35" s="10"/>
      <c r="D35" s="10"/>
      <c r="E35" s="10"/>
      <c r="F35" s="10"/>
      <c r="G35" s="29"/>
      <c r="H35" s="34"/>
      <c r="I35" s="5"/>
      <c r="J35" s="23"/>
    </row>
    <row r="36" spans="1:10" ht="15.75" thickBot="1" x14ac:dyDescent="0.3">
      <c r="A36" s="22" t="s">
        <v>26</v>
      </c>
      <c r="B36" s="37">
        <f>SUM(B25:B34)</f>
        <v>304088</v>
      </c>
      <c r="C36" s="37">
        <f t="shared" ref="C36:J36" si="5">SUM(C25:C34)</f>
        <v>162067</v>
      </c>
      <c r="D36" s="37">
        <f t="shared" si="5"/>
        <v>43270</v>
      </c>
      <c r="E36" s="37">
        <f t="shared" si="5"/>
        <v>34503</v>
      </c>
      <c r="F36" s="37">
        <f t="shared" si="5"/>
        <v>90536</v>
      </c>
      <c r="G36" s="38">
        <f t="shared" si="5"/>
        <v>55027</v>
      </c>
      <c r="H36" s="31">
        <f t="shared" si="5"/>
        <v>689491</v>
      </c>
      <c r="I36" s="37">
        <f t="shared" si="5"/>
        <v>6225</v>
      </c>
      <c r="J36" s="39">
        <f t="shared" si="5"/>
        <v>695716</v>
      </c>
    </row>
    <row r="37" spans="1:10" ht="16.5" thickTop="1" thickBot="1" x14ac:dyDescent="0.3">
      <c r="A37" s="11" t="s">
        <v>27</v>
      </c>
      <c r="B37" s="40">
        <f t="shared" ref="B37:J37" si="6">SUM(B24,B36)</f>
        <v>349189</v>
      </c>
      <c r="C37" s="40">
        <f t="shared" si="6"/>
        <v>198628</v>
      </c>
      <c r="D37" s="40">
        <f t="shared" si="6"/>
        <v>57739</v>
      </c>
      <c r="E37" s="40">
        <f t="shared" si="6"/>
        <v>38704</v>
      </c>
      <c r="F37" s="40">
        <f t="shared" si="6"/>
        <v>105635</v>
      </c>
      <c r="G37" s="41">
        <f t="shared" si="6"/>
        <v>68879</v>
      </c>
      <c r="H37" s="67">
        <f t="shared" si="6"/>
        <v>818774</v>
      </c>
      <c r="I37" s="40">
        <f t="shared" si="6"/>
        <v>7417</v>
      </c>
      <c r="J37" s="72">
        <f t="shared" si="6"/>
        <v>826191</v>
      </c>
    </row>
    <row r="38" spans="1:10" ht="15.75" thickTop="1" x14ac:dyDescent="0.25">
      <c r="B38" s="12"/>
    </row>
    <row r="39" spans="1:10" x14ac:dyDescent="0.25">
      <c r="A39" s="1" t="s">
        <v>53</v>
      </c>
    </row>
    <row r="40" spans="1:10" x14ac:dyDescent="0.25">
      <c r="I40" s="3"/>
      <c r="J40" s="3"/>
    </row>
    <row r="41" spans="1:10" x14ac:dyDescent="0.25">
      <c r="I41" s="3"/>
      <c r="J41" s="3"/>
    </row>
  </sheetData>
  <mergeCells count="5">
    <mergeCell ref="A1:J1"/>
    <mergeCell ref="A2:J2"/>
    <mergeCell ref="A3:J3"/>
    <mergeCell ref="A4:J4"/>
    <mergeCell ref="A5:J5"/>
  </mergeCells>
  <printOptions horizontalCentered="1"/>
  <pageMargins left="0.7" right="0.7" top="0.75" bottom="0.75" header="0.3" footer="0.3"/>
  <pageSetup scale="67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1"/>
  <sheetViews>
    <sheetView topLeftCell="A4" workbookViewId="0">
      <selection activeCell="A3" sqref="A3:J3"/>
    </sheetView>
  </sheetViews>
  <sheetFormatPr defaultRowHeight="15" x14ac:dyDescent="0.25"/>
  <cols>
    <col min="1" max="1" width="40.85546875" style="1" bestFit="1" customWidth="1"/>
    <col min="2" max="10" width="15.7109375" customWidth="1"/>
  </cols>
  <sheetData>
    <row r="1" spans="1:10" ht="19.5" thickTop="1" x14ac:dyDescent="0.3">
      <c r="A1" s="48" t="s">
        <v>28</v>
      </c>
      <c r="B1" s="49"/>
      <c r="C1" s="49"/>
      <c r="D1" s="49"/>
      <c r="E1" s="49"/>
      <c r="F1" s="49"/>
      <c r="G1" s="49"/>
      <c r="H1" s="49"/>
      <c r="I1" s="49"/>
      <c r="J1" s="50"/>
    </row>
    <row r="2" spans="1:10" ht="18.75" x14ac:dyDescent="0.3">
      <c r="A2" s="51" t="s">
        <v>30</v>
      </c>
      <c r="B2" s="52"/>
      <c r="C2" s="52"/>
      <c r="D2" s="52"/>
      <c r="E2" s="52"/>
      <c r="F2" s="52"/>
      <c r="G2" s="52"/>
      <c r="H2" s="52"/>
      <c r="I2" s="52"/>
      <c r="J2" s="53"/>
    </row>
    <row r="3" spans="1:10" ht="18.75" x14ac:dyDescent="0.3">
      <c r="A3" s="54" t="s">
        <v>52</v>
      </c>
      <c r="B3" s="55"/>
      <c r="C3" s="55"/>
      <c r="D3" s="55"/>
      <c r="E3" s="55"/>
      <c r="F3" s="55"/>
      <c r="G3" s="55"/>
      <c r="H3" s="55"/>
      <c r="I3" s="55"/>
      <c r="J3" s="56"/>
    </row>
    <row r="4" spans="1:10" ht="19.5" thickBot="1" x14ac:dyDescent="0.35">
      <c r="A4" s="57"/>
      <c r="B4" s="58"/>
      <c r="C4" s="58"/>
      <c r="D4" s="58"/>
      <c r="E4" s="58"/>
      <c r="F4" s="58"/>
      <c r="G4" s="58"/>
      <c r="H4" s="58"/>
      <c r="I4" s="58"/>
      <c r="J4" s="59"/>
    </row>
    <row r="5" spans="1:10" ht="15.75" thickBot="1" x14ac:dyDescent="0.3">
      <c r="A5" s="60"/>
      <c r="B5" s="61"/>
      <c r="C5" s="61"/>
      <c r="D5" s="61"/>
      <c r="E5" s="61"/>
      <c r="F5" s="61"/>
      <c r="G5" s="61"/>
      <c r="H5" s="61"/>
      <c r="I5" s="61"/>
      <c r="J5" s="62"/>
    </row>
    <row r="6" spans="1:10" s="13" customFormat="1" ht="30.75" thickBot="1" x14ac:dyDescent="0.3">
      <c r="A6" s="16" t="s">
        <v>0</v>
      </c>
      <c r="B6" s="14" t="s">
        <v>31</v>
      </c>
      <c r="C6" s="15" t="s">
        <v>32</v>
      </c>
      <c r="D6" s="15" t="s">
        <v>33</v>
      </c>
      <c r="E6" s="15" t="s">
        <v>34</v>
      </c>
      <c r="F6" s="15" t="s">
        <v>35</v>
      </c>
      <c r="G6" s="25" t="s">
        <v>36</v>
      </c>
      <c r="H6" s="33" t="s">
        <v>37</v>
      </c>
      <c r="I6" s="30" t="s">
        <v>41</v>
      </c>
      <c r="J6" s="17" t="s">
        <v>39</v>
      </c>
    </row>
    <row r="7" spans="1:10" ht="15.75" thickTop="1" x14ac:dyDescent="0.25">
      <c r="A7" s="18" t="s">
        <v>1</v>
      </c>
      <c r="B7" s="5">
        <v>1</v>
      </c>
      <c r="C7" s="6">
        <v>0</v>
      </c>
      <c r="D7" s="6">
        <v>0</v>
      </c>
      <c r="E7" s="6">
        <v>0</v>
      </c>
      <c r="F7" s="6">
        <v>0</v>
      </c>
      <c r="G7" s="26">
        <v>0</v>
      </c>
      <c r="H7" s="34">
        <f>SUM(B7:G7)</f>
        <v>1</v>
      </c>
      <c r="I7" s="5">
        <v>0</v>
      </c>
      <c r="J7" s="19">
        <f>SUM(H7,I7)</f>
        <v>1</v>
      </c>
    </row>
    <row r="8" spans="1:10" x14ac:dyDescent="0.25">
      <c r="A8" s="18" t="s">
        <v>2</v>
      </c>
      <c r="B8" s="4">
        <v>1</v>
      </c>
      <c r="C8" s="2">
        <v>0</v>
      </c>
      <c r="D8" s="2">
        <v>0</v>
      </c>
      <c r="E8" s="2">
        <v>0</v>
      </c>
      <c r="F8" s="2">
        <v>4</v>
      </c>
      <c r="G8" s="27">
        <v>0</v>
      </c>
      <c r="H8" s="34">
        <f t="shared" ref="H8:H21" si="0">SUM(B8:G8)</f>
        <v>5</v>
      </c>
      <c r="I8" s="4">
        <v>0</v>
      </c>
      <c r="J8" s="19">
        <f t="shared" ref="J8:J21" si="1">SUM(H8,I8)</f>
        <v>5</v>
      </c>
    </row>
    <row r="9" spans="1:10" x14ac:dyDescent="0.25">
      <c r="A9" s="18" t="s">
        <v>3</v>
      </c>
      <c r="B9" s="4">
        <v>61</v>
      </c>
      <c r="C9" s="2">
        <v>36</v>
      </c>
      <c r="D9" s="2">
        <v>16</v>
      </c>
      <c r="E9" s="2">
        <v>6</v>
      </c>
      <c r="F9" s="2">
        <v>44</v>
      </c>
      <c r="G9" s="27">
        <v>24</v>
      </c>
      <c r="H9" s="34">
        <f t="shared" si="0"/>
        <v>187</v>
      </c>
      <c r="I9" s="4">
        <v>1</v>
      </c>
      <c r="J9" s="19">
        <f t="shared" si="1"/>
        <v>188</v>
      </c>
    </row>
    <row r="10" spans="1:10" x14ac:dyDescent="0.25">
      <c r="A10" s="18" t="s">
        <v>4</v>
      </c>
      <c r="B10" s="4">
        <v>146</v>
      </c>
      <c r="C10" s="2">
        <v>79</v>
      </c>
      <c r="D10" s="2">
        <v>28</v>
      </c>
      <c r="E10" s="2">
        <v>6</v>
      </c>
      <c r="F10" s="2">
        <v>100</v>
      </c>
      <c r="G10" s="27">
        <v>56</v>
      </c>
      <c r="H10" s="34">
        <f t="shared" si="0"/>
        <v>415</v>
      </c>
      <c r="I10" s="4">
        <v>1</v>
      </c>
      <c r="J10" s="19">
        <f t="shared" si="1"/>
        <v>416</v>
      </c>
    </row>
    <row r="11" spans="1:10" x14ac:dyDescent="0.25">
      <c r="A11" s="18" t="s">
        <v>5</v>
      </c>
      <c r="B11" s="4">
        <v>1414</v>
      </c>
      <c r="C11" s="2">
        <v>1754</v>
      </c>
      <c r="D11" s="2">
        <v>1247</v>
      </c>
      <c r="E11" s="2">
        <v>314</v>
      </c>
      <c r="F11" s="2">
        <v>976</v>
      </c>
      <c r="G11" s="27">
        <v>1079</v>
      </c>
      <c r="H11" s="34">
        <f t="shared" si="0"/>
        <v>6784</v>
      </c>
      <c r="I11" s="4">
        <v>41</v>
      </c>
      <c r="J11" s="19">
        <f t="shared" si="1"/>
        <v>6825</v>
      </c>
    </row>
    <row r="12" spans="1:10" x14ac:dyDescent="0.25">
      <c r="A12" s="18" t="s">
        <v>6</v>
      </c>
      <c r="B12" s="4">
        <v>3622</v>
      </c>
      <c r="C12" s="2">
        <v>5368</v>
      </c>
      <c r="D12" s="2">
        <v>3136</v>
      </c>
      <c r="E12" s="2">
        <v>808</v>
      </c>
      <c r="F12" s="2">
        <v>3855</v>
      </c>
      <c r="G12" s="27">
        <v>3808</v>
      </c>
      <c r="H12" s="34">
        <f t="shared" si="0"/>
        <v>20597</v>
      </c>
      <c r="I12" s="4">
        <v>153</v>
      </c>
      <c r="J12" s="19">
        <f t="shared" si="1"/>
        <v>20750</v>
      </c>
    </row>
    <row r="13" spans="1:10" x14ac:dyDescent="0.25">
      <c r="A13" s="18" t="s">
        <v>7</v>
      </c>
      <c r="B13" s="4">
        <v>6608</v>
      </c>
      <c r="C13" s="2">
        <v>6783</v>
      </c>
      <c r="D13" s="2">
        <v>4606</v>
      </c>
      <c r="E13" s="2">
        <v>1157</v>
      </c>
      <c r="F13" s="2">
        <v>4284</v>
      </c>
      <c r="G13" s="27">
        <v>5153</v>
      </c>
      <c r="H13" s="34">
        <f t="shared" si="0"/>
        <v>28591</v>
      </c>
      <c r="I13" s="4">
        <v>299</v>
      </c>
      <c r="J13" s="19">
        <f t="shared" si="1"/>
        <v>28890</v>
      </c>
    </row>
    <row r="14" spans="1:10" x14ac:dyDescent="0.25">
      <c r="A14" s="18" t="s">
        <v>8</v>
      </c>
      <c r="B14" s="4">
        <v>10792</v>
      </c>
      <c r="C14" s="2">
        <v>11191</v>
      </c>
      <c r="D14" s="2">
        <v>4011</v>
      </c>
      <c r="E14" s="2">
        <v>1200</v>
      </c>
      <c r="F14" s="2">
        <v>3556</v>
      </c>
      <c r="G14" s="27">
        <v>2865</v>
      </c>
      <c r="H14" s="34">
        <f t="shared" si="0"/>
        <v>33615</v>
      </c>
      <c r="I14" s="4">
        <v>427</v>
      </c>
      <c r="J14" s="19">
        <f t="shared" si="1"/>
        <v>34042</v>
      </c>
    </row>
    <row r="15" spans="1:10" x14ac:dyDescent="0.25">
      <c r="A15" s="18" t="s">
        <v>9</v>
      </c>
      <c r="B15" s="4">
        <v>9284</v>
      </c>
      <c r="C15" s="2">
        <v>5407</v>
      </c>
      <c r="D15" s="2">
        <v>832</v>
      </c>
      <c r="E15" s="2">
        <v>237</v>
      </c>
      <c r="F15" s="2">
        <v>1140</v>
      </c>
      <c r="G15" s="27">
        <v>511</v>
      </c>
      <c r="H15" s="34">
        <f t="shared" si="0"/>
        <v>17411</v>
      </c>
      <c r="I15" s="4">
        <v>81</v>
      </c>
      <c r="J15" s="19">
        <f t="shared" si="1"/>
        <v>17492</v>
      </c>
    </row>
    <row r="16" spans="1:10" x14ac:dyDescent="0.25">
      <c r="A16" s="18" t="s">
        <v>10</v>
      </c>
      <c r="B16" s="4">
        <v>4693</v>
      </c>
      <c r="C16" s="2">
        <v>2699</v>
      </c>
      <c r="D16" s="2">
        <v>500</v>
      </c>
      <c r="E16" s="2">
        <v>237</v>
      </c>
      <c r="F16" s="2">
        <v>1136</v>
      </c>
      <c r="G16" s="27">
        <v>409</v>
      </c>
      <c r="H16" s="34">
        <f t="shared" si="0"/>
        <v>9674</v>
      </c>
      <c r="I16" s="4">
        <v>59</v>
      </c>
      <c r="J16" s="19">
        <f t="shared" si="1"/>
        <v>9733</v>
      </c>
    </row>
    <row r="17" spans="1:10" x14ac:dyDescent="0.25">
      <c r="A17" s="18" t="s">
        <v>11</v>
      </c>
      <c r="B17" s="4">
        <v>390</v>
      </c>
      <c r="C17" s="2">
        <v>104</v>
      </c>
      <c r="D17" s="2">
        <v>2</v>
      </c>
      <c r="E17" s="2">
        <v>11</v>
      </c>
      <c r="F17" s="2">
        <v>0</v>
      </c>
      <c r="G17" s="27">
        <v>0</v>
      </c>
      <c r="H17" s="34">
        <f t="shared" si="0"/>
        <v>507</v>
      </c>
      <c r="I17" s="4">
        <v>0</v>
      </c>
      <c r="J17" s="19">
        <f t="shared" si="1"/>
        <v>507</v>
      </c>
    </row>
    <row r="18" spans="1:10" x14ac:dyDescent="0.25">
      <c r="A18" s="18" t="s">
        <v>12</v>
      </c>
      <c r="B18" s="4">
        <v>1453</v>
      </c>
      <c r="C18" s="2">
        <v>529</v>
      </c>
      <c r="D18" s="2">
        <v>13</v>
      </c>
      <c r="E18" s="2">
        <v>44</v>
      </c>
      <c r="F18" s="2">
        <v>0</v>
      </c>
      <c r="G18" s="27">
        <v>0</v>
      </c>
      <c r="H18" s="34">
        <f t="shared" si="0"/>
        <v>2039</v>
      </c>
      <c r="I18" s="4">
        <v>18</v>
      </c>
      <c r="J18" s="19">
        <f t="shared" si="1"/>
        <v>2057</v>
      </c>
    </row>
    <row r="19" spans="1:10" x14ac:dyDescent="0.25">
      <c r="A19" s="18" t="s">
        <v>13</v>
      </c>
      <c r="B19" s="4">
        <v>2088</v>
      </c>
      <c r="C19" s="2">
        <v>843</v>
      </c>
      <c r="D19" s="2">
        <v>34</v>
      </c>
      <c r="E19" s="2">
        <v>69</v>
      </c>
      <c r="F19" s="2">
        <v>0</v>
      </c>
      <c r="G19" s="27">
        <v>0</v>
      </c>
      <c r="H19" s="34">
        <f t="shared" si="0"/>
        <v>3034</v>
      </c>
      <c r="I19" s="4">
        <v>55</v>
      </c>
      <c r="J19" s="19">
        <f t="shared" si="1"/>
        <v>3089</v>
      </c>
    </row>
    <row r="20" spans="1:10" x14ac:dyDescent="0.25">
      <c r="A20" s="18" t="s">
        <v>14</v>
      </c>
      <c r="B20" s="4">
        <v>3517</v>
      </c>
      <c r="C20" s="2">
        <v>1439</v>
      </c>
      <c r="D20" s="2">
        <v>36</v>
      </c>
      <c r="E20" s="2">
        <v>99</v>
      </c>
      <c r="F20" s="2">
        <v>0</v>
      </c>
      <c r="G20" s="27">
        <v>0</v>
      </c>
      <c r="H20" s="34">
        <f t="shared" si="0"/>
        <v>5091</v>
      </c>
      <c r="I20" s="4">
        <v>57</v>
      </c>
      <c r="J20" s="19">
        <f t="shared" si="1"/>
        <v>5148</v>
      </c>
    </row>
    <row r="21" spans="1:10" x14ac:dyDescent="0.25">
      <c r="A21" s="18" t="s">
        <v>15</v>
      </c>
      <c r="B21" s="4">
        <v>1112</v>
      </c>
      <c r="C21" s="2">
        <v>400</v>
      </c>
      <c r="D21" s="2">
        <v>0</v>
      </c>
      <c r="E21" s="2">
        <v>27</v>
      </c>
      <c r="F21" s="2">
        <v>0</v>
      </c>
      <c r="G21" s="27">
        <v>0</v>
      </c>
      <c r="H21" s="34">
        <f t="shared" si="0"/>
        <v>1539</v>
      </c>
      <c r="I21" s="4">
        <v>0</v>
      </c>
      <c r="J21" s="19">
        <f t="shared" si="1"/>
        <v>1539</v>
      </c>
    </row>
    <row r="22" spans="1:10" x14ac:dyDescent="0.25">
      <c r="A22" s="18" t="s">
        <v>59</v>
      </c>
      <c r="B22" s="4">
        <v>2</v>
      </c>
      <c r="C22" s="2">
        <v>0</v>
      </c>
      <c r="D22" s="2">
        <v>0</v>
      </c>
      <c r="E22" s="2">
        <v>0</v>
      </c>
      <c r="F22" s="2">
        <v>0</v>
      </c>
      <c r="G22" s="27">
        <v>0</v>
      </c>
      <c r="H22" s="34">
        <f>SUM(B22:G22)</f>
        <v>2</v>
      </c>
      <c r="I22" s="4">
        <v>0</v>
      </c>
      <c r="J22" s="19">
        <f>SUM(H22,I22)</f>
        <v>2</v>
      </c>
    </row>
    <row r="23" spans="1:10" ht="15.75" thickBot="1" x14ac:dyDescent="0.3">
      <c r="A23" s="20"/>
      <c r="B23" s="7"/>
      <c r="C23" s="8"/>
      <c r="D23" s="8"/>
      <c r="E23" s="8"/>
      <c r="F23" s="8"/>
      <c r="G23" s="28"/>
      <c r="H23" s="35"/>
      <c r="I23" s="7" t="s">
        <v>29</v>
      </c>
      <c r="J23" s="21"/>
    </row>
    <row r="24" spans="1:10" ht="24.95" customHeight="1" thickBot="1" x14ac:dyDescent="0.3">
      <c r="A24" s="22" t="s">
        <v>16</v>
      </c>
      <c r="B24" s="37">
        <f>SUM(B7:B22)</f>
        <v>45184</v>
      </c>
      <c r="C24" s="37">
        <f t="shared" ref="C24:J24" si="2">SUM(C7:C22)</f>
        <v>36632</v>
      </c>
      <c r="D24" s="37">
        <f t="shared" si="2"/>
        <v>14461</v>
      </c>
      <c r="E24" s="37">
        <f t="shared" si="2"/>
        <v>4215</v>
      </c>
      <c r="F24" s="37">
        <f t="shared" si="2"/>
        <v>15095</v>
      </c>
      <c r="G24" s="38">
        <f t="shared" si="2"/>
        <v>13905</v>
      </c>
      <c r="H24" s="31">
        <f t="shared" si="2"/>
        <v>129492</v>
      </c>
      <c r="I24" s="37">
        <f t="shared" si="2"/>
        <v>1192</v>
      </c>
      <c r="J24" s="39">
        <f t="shared" si="2"/>
        <v>130684</v>
      </c>
    </row>
    <row r="25" spans="1:10" x14ac:dyDescent="0.25">
      <c r="A25" s="18" t="s">
        <v>17</v>
      </c>
      <c r="B25" s="5">
        <v>2074</v>
      </c>
      <c r="C25" s="6">
        <v>1564</v>
      </c>
      <c r="D25" s="6">
        <v>365</v>
      </c>
      <c r="E25" s="6">
        <v>173</v>
      </c>
      <c r="F25" s="6">
        <v>1901</v>
      </c>
      <c r="G25" s="26">
        <v>949</v>
      </c>
      <c r="H25" s="34">
        <f>SUM(B25:G25)</f>
        <v>7026</v>
      </c>
      <c r="I25" s="5">
        <v>69</v>
      </c>
      <c r="J25" s="23">
        <f>H25+I25</f>
        <v>7095</v>
      </c>
    </row>
    <row r="26" spans="1:10" x14ac:dyDescent="0.25">
      <c r="A26" s="18" t="s">
        <v>18</v>
      </c>
      <c r="B26" s="4">
        <v>7554</v>
      </c>
      <c r="C26" s="2">
        <v>5514</v>
      </c>
      <c r="D26" s="2">
        <v>924</v>
      </c>
      <c r="E26" s="2">
        <v>533</v>
      </c>
      <c r="F26" s="2">
        <v>4558</v>
      </c>
      <c r="G26" s="27">
        <v>2903</v>
      </c>
      <c r="H26" s="34">
        <f t="shared" ref="H26:H34" si="3">SUM(B26:G26)</f>
        <v>21986</v>
      </c>
      <c r="I26" s="4">
        <v>117</v>
      </c>
      <c r="J26" s="23">
        <f t="shared" ref="J26:J34" si="4">H26+I26</f>
        <v>22103</v>
      </c>
    </row>
    <row r="27" spans="1:10" x14ac:dyDescent="0.25">
      <c r="A27" s="18" t="s">
        <v>19</v>
      </c>
      <c r="B27" s="4">
        <v>21919</v>
      </c>
      <c r="C27" s="2">
        <v>15159</v>
      </c>
      <c r="D27" s="2">
        <v>3684</v>
      </c>
      <c r="E27" s="2">
        <v>1080</v>
      </c>
      <c r="F27" s="2">
        <v>14789</v>
      </c>
      <c r="G27" s="27">
        <v>8418</v>
      </c>
      <c r="H27" s="34">
        <f t="shared" si="3"/>
        <v>65049</v>
      </c>
      <c r="I27" s="4">
        <v>683</v>
      </c>
      <c r="J27" s="23">
        <f t="shared" si="4"/>
        <v>65732</v>
      </c>
    </row>
    <row r="28" spans="1:10" x14ac:dyDescent="0.25">
      <c r="A28" s="18" t="s">
        <v>20</v>
      </c>
      <c r="B28" s="4">
        <v>40107</v>
      </c>
      <c r="C28" s="2">
        <v>19821</v>
      </c>
      <c r="D28" s="2">
        <v>10466</v>
      </c>
      <c r="E28" s="2">
        <v>2217</v>
      </c>
      <c r="F28" s="2">
        <v>18765</v>
      </c>
      <c r="G28" s="27">
        <v>12115</v>
      </c>
      <c r="H28" s="34">
        <f t="shared" si="3"/>
        <v>103491</v>
      </c>
      <c r="I28" s="4">
        <v>1314</v>
      </c>
      <c r="J28" s="23">
        <f t="shared" si="4"/>
        <v>104805</v>
      </c>
    </row>
    <row r="29" spans="1:10" x14ac:dyDescent="0.25">
      <c r="A29" s="18" t="s">
        <v>21</v>
      </c>
      <c r="B29" s="4">
        <v>64264</v>
      </c>
      <c r="C29" s="2">
        <v>28899</v>
      </c>
      <c r="D29" s="2">
        <v>13306</v>
      </c>
      <c r="E29" s="2">
        <v>4553</v>
      </c>
      <c r="F29" s="2">
        <v>19064</v>
      </c>
      <c r="G29" s="27">
        <v>10211</v>
      </c>
      <c r="H29" s="34">
        <f t="shared" si="3"/>
        <v>140297</v>
      </c>
      <c r="I29" s="4">
        <v>1747</v>
      </c>
      <c r="J29" s="23">
        <f t="shared" si="4"/>
        <v>142044</v>
      </c>
    </row>
    <row r="30" spans="1:10" x14ac:dyDescent="0.25">
      <c r="A30" s="18" t="s">
        <v>22</v>
      </c>
      <c r="B30" s="4">
        <v>91080</v>
      </c>
      <c r="C30" s="2">
        <v>58299</v>
      </c>
      <c r="D30" s="2">
        <v>7593</v>
      </c>
      <c r="E30" s="2">
        <v>6384</v>
      </c>
      <c r="F30" s="2">
        <v>16495</v>
      </c>
      <c r="G30" s="27">
        <v>15438</v>
      </c>
      <c r="H30" s="34">
        <f t="shared" si="3"/>
        <v>195289</v>
      </c>
      <c r="I30" s="4">
        <v>2103</v>
      </c>
      <c r="J30" s="23">
        <f t="shared" si="4"/>
        <v>197392</v>
      </c>
    </row>
    <row r="31" spans="1:10" x14ac:dyDescent="0.25">
      <c r="A31" s="18" t="s">
        <v>23</v>
      </c>
      <c r="B31" s="4">
        <v>40439</v>
      </c>
      <c r="C31" s="2">
        <v>17602</v>
      </c>
      <c r="D31" s="2">
        <v>4762</v>
      </c>
      <c r="E31" s="2">
        <v>14656</v>
      </c>
      <c r="F31" s="2">
        <v>14041</v>
      </c>
      <c r="G31" s="27">
        <v>3434</v>
      </c>
      <c r="H31" s="34">
        <f t="shared" si="3"/>
        <v>94934</v>
      </c>
      <c r="I31" s="4">
        <v>178</v>
      </c>
      <c r="J31" s="23">
        <f t="shared" si="4"/>
        <v>95112</v>
      </c>
    </row>
    <row r="32" spans="1:10" x14ac:dyDescent="0.25">
      <c r="A32" s="18" t="s">
        <v>24</v>
      </c>
      <c r="B32" s="4">
        <v>21394</v>
      </c>
      <c r="C32" s="2">
        <v>7635</v>
      </c>
      <c r="D32" s="2">
        <v>1237</v>
      </c>
      <c r="E32" s="2">
        <v>3677</v>
      </c>
      <c r="F32" s="2">
        <v>363</v>
      </c>
      <c r="G32" s="27">
        <v>760</v>
      </c>
      <c r="H32" s="34">
        <f t="shared" si="3"/>
        <v>35066</v>
      </c>
      <c r="I32" s="4">
        <v>14</v>
      </c>
      <c r="J32" s="23">
        <f t="shared" si="4"/>
        <v>35080</v>
      </c>
    </row>
    <row r="33" spans="1:10" x14ac:dyDescent="0.25">
      <c r="A33" s="18" t="s">
        <v>25</v>
      </c>
      <c r="B33" s="2">
        <v>15410</v>
      </c>
      <c r="C33" s="2">
        <v>7525</v>
      </c>
      <c r="D33" s="2">
        <v>831</v>
      </c>
      <c r="E33" s="2">
        <v>1636</v>
      </c>
      <c r="F33" s="2">
        <v>649</v>
      </c>
      <c r="G33" s="27">
        <v>764</v>
      </c>
      <c r="H33" s="34">
        <f t="shared" si="3"/>
        <v>26815</v>
      </c>
      <c r="I33" s="4">
        <v>0</v>
      </c>
      <c r="J33" s="23">
        <f t="shared" si="4"/>
        <v>26815</v>
      </c>
    </row>
    <row r="34" spans="1:10" x14ac:dyDescent="0.25">
      <c r="A34" s="18" t="s">
        <v>60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70">
        <v>0</v>
      </c>
      <c r="H34" s="34">
        <f t="shared" si="3"/>
        <v>0</v>
      </c>
      <c r="I34" s="4">
        <v>0</v>
      </c>
      <c r="J34" s="23">
        <f t="shared" si="4"/>
        <v>0</v>
      </c>
    </row>
    <row r="35" spans="1:10" ht="15.75" thickBot="1" x14ac:dyDescent="0.3">
      <c r="A35" s="18"/>
      <c r="B35" s="9"/>
      <c r="C35" s="10"/>
      <c r="D35" s="10"/>
      <c r="E35" s="10"/>
      <c r="F35" s="10"/>
      <c r="G35" s="29"/>
      <c r="H35" s="34"/>
      <c r="I35" s="4"/>
      <c r="J35" s="23"/>
    </row>
    <row r="36" spans="1:10" ht="15.75" thickBot="1" x14ac:dyDescent="0.3">
      <c r="A36" s="22" t="s">
        <v>26</v>
      </c>
      <c r="B36" s="37">
        <f>SUM(B25:B34)</f>
        <v>304241</v>
      </c>
      <c r="C36" s="37">
        <f t="shared" ref="C36:J36" si="5">SUM(C25:C34)</f>
        <v>162018</v>
      </c>
      <c r="D36" s="37">
        <f t="shared" si="5"/>
        <v>43168</v>
      </c>
      <c r="E36" s="37">
        <f t="shared" si="5"/>
        <v>34909</v>
      </c>
      <c r="F36" s="37">
        <f t="shared" si="5"/>
        <v>90625</v>
      </c>
      <c r="G36" s="38">
        <f t="shared" si="5"/>
        <v>54992</v>
      </c>
      <c r="H36" s="31">
        <f t="shared" si="5"/>
        <v>689953</v>
      </c>
      <c r="I36" s="37">
        <f t="shared" si="5"/>
        <v>6225</v>
      </c>
      <c r="J36" s="39">
        <f t="shared" si="5"/>
        <v>696178</v>
      </c>
    </row>
    <row r="37" spans="1:10" ht="16.5" thickTop="1" thickBot="1" x14ac:dyDescent="0.3">
      <c r="A37" s="11" t="s">
        <v>27</v>
      </c>
      <c r="B37" s="40">
        <f>SUM(B24,B36)</f>
        <v>349425</v>
      </c>
      <c r="C37" s="40">
        <f>SUM(C24,C36)</f>
        <v>198650</v>
      </c>
      <c r="D37" s="40">
        <f>SUM(D24,D36)</f>
        <v>57629</v>
      </c>
      <c r="E37" s="40">
        <f>SUM(E24,E36)</f>
        <v>39124</v>
      </c>
      <c r="F37" s="40">
        <f>SUM(F24,F36)</f>
        <v>105720</v>
      </c>
      <c r="G37" s="41">
        <f>SUM(G24,G36)</f>
        <v>68897</v>
      </c>
      <c r="H37" s="67">
        <f>SUM(H24,H36)</f>
        <v>819445</v>
      </c>
      <c r="I37" s="40">
        <f>SUM(I24,I36)</f>
        <v>7417</v>
      </c>
      <c r="J37" s="72">
        <f>SUM(J24,J36)</f>
        <v>826862</v>
      </c>
    </row>
    <row r="38" spans="1:10" ht="15.75" thickTop="1" x14ac:dyDescent="0.25">
      <c r="B38" s="12"/>
    </row>
    <row r="39" spans="1:10" x14ac:dyDescent="0.25">
      <c r="A39" s="1" t="s">
        <v>53</v>
      </c>
    </row>
    <row r="40" spans="1:10" x14ac:dyDescent="0.25">
      <c r="I40" s="3"/>
      <c r="J40" s="3"/>
    </row>
    <row r="41" spans="1:10" x14ac:dyDescent="0.25">
      <c r="I41" s="3"/>
      <c r="J41" s="3"/>
    </row>
  </sheetData>
  <mergeCells count="5">
    <mergeCell ref="A1:J1"/>
    <mergeCell ref="A2:J2"/>
    <mergeCell ref="A3:J3"/>
    <mergeCell ref="A4:J4"/>
    <mergeCell ref="A5:J5"/>
  </mergeCells>
  <printOptions horizontalCentered="1"/>
  <pageMargins left="0.7" right="0.7" top="0.75" bottom="0.75" header="0.3" footer="0.3"/>
  <pageSetup scale="67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1"/>
  <sheetViews>
    <sheetView topLeftCell="A7" workbookViewId="0">
      <selection activeCell="A3" sqref="A3:J3"/>
    </sheetView>
  </sheetViews>
  <sheetFormatPr defaultRowHeight="15" x14ac:dyDescent="0.25"/>
  <cols>
    <col min="1" max="1" width="40.85546875" style="1" bestFit="1" customWidth="1"/>
    <col min="2" max="10" width="15.7109375" customWidth="1"/>
  </cols>
  <sheetData>
    <row r="1" spans="1:10" ht="19.5" thickTop="1" x14ac:dyDescent="0.3">
      <c r="A1" s="48" t="s">
        <v>28</v>
      </c>
      <c r="B1" s="49"/>
      <c r="C1" s="49"/>
      <c r="D1" s="49"/>
      <c r="E1" s="49"/>
      <c r="F1" s="49"/>
      <c r="G1" s="49"/>
      <c r="H1" s="49"/>
      <c r="I1" s="49"/>
      <c r="J1" s="50"/>
    </row>
    <row r="2" spans="1:10" ht="18.75" x14ac:dyDescent="0.3">
      <c r="A2" s="51" t="s">
        <v>30</v>
      </c>
      <c r="B2" s="52"/>
      <c r="C2" s="52"/>
      <c r="D2" s="52"/>
      <c r="E2" s="52"/>
      <c r="F2" s="52"/>
      <c r="G2" s="52"/>
      <c r="H2" s="52"/>
      <c r="I2" s="52"/>
      <c r="J2" s="53"/>
    </row>
    <row r="3" spans="1:10" ht="18.75" x14ac:dyDescent="0.3">
      <c r="A3" s="54" t="s">
        <v>40</v>
      </c>
      <c r="B3" s="55"/>
      <c r="C3" s="55"/>
      <c r="D3" s="55"/>
      <c r="E3" s="55"/>
      <c r="F3" s="55"/>
      <c r="G3" s="55"/>
      <c r="H3" s="55"/>
      <c r="I3" s="55"/>
      <c r="J3" s="56"/>
    </row>
    <row r="4" spans="1:10" ht="19.5" thickBot="1" x14ac:dyDescent="0.35">
      <c r="A4" s="57"/>
      <c r="B4" s="58"/>
      <c r="C4" s="58"/>
      <c r="D4" s="58"/>
      <c r="E4" s="58"/>
      <c r="F4" s="58"/>
      <c r="G4" s="58"/>
      <c r="H4" s="58"/>
      <c r="I4" s="58"/>
      <c r="J4" s="59"/>
    </row>
    <row r="5" spans="1:10" ht="15.75" thickBot="1" x14ac:dyDescent="0.3">
      <c r="A5" s="60"/>
      <c r="B5" s="61"/>
      <c r="C5" s="61"/>
      <c r="D5" s="61"/>
      <c r="E5" s="61"/>
      <c r="F5" s="61"/>
      <c r="G5" s="61"/>
      <c r="H5" s="61"/>
      <c r="I5" s="61"/>
      <c r="J5" s="62"/>
    </row>
    <row r="6" spans="1:10" s="13" customFormat="1" ht="30.75" thickBot="1" x14ac:dyDescent="0.3">
      <c r="A6" s="16" t="s">
        <v>0</v>
      </c>
      <c r="B6" s="14" t="s">
        <v>31</v>
      </c>
      <c r="C6" s="15" t="s">
        <v>32</v>
      </c>
      <c r="D6" s="15" t="s">
        <v>33</v>
      </c>
      <c r="E6" s="15" t="s">
        <v>34</v>
      </c>
      <c r="F6" s="15" t="s">
        <v>35</v>
      </c>
      <c r="G6" s="25" t="s">
        <v>36</v>
      </c>
      <c r="H6" s="33" t="s">
        <v>37</v>
      </c>
      <c r="I6" s="30" t="s">
        <v>41</v>
      </c>
      <c r="J6" s="17" t="s">
        <v>39</v>
      </c>
    </row>
    <row r="7" spans="1:10" ht="15.75" thickTop="1" x14ac:dyDescent="0.25">
      <c r="A7" s="18" t="s">
        <v>1</v>
      </c>
      <c r="B7" s="5">
        <v>1</v>
      </c>
      <c r="C7" s="6">
        <v>0</v>
      </c>
      <c r="D7" s="6">
        <v>0</v>
      </c>
      <c r="E7" s="6">
        <v>0</v>
      </c>
      <c r="F7" s="6">
        <v>0</v>
      </c>
      <c r="G7" s="26">
        <v>0</v>
      </c>
      <c r="H7" s="34">
        <f>SUM(B7:G7)</f>
        <v>1</v>
      </c>
      <c r="I7" s="5">
        <v>0</v>
      </c>
      <c r="J7" s="19">
        <f>SUM(H7,I7)</f>
        <v>1</v>
      </c>
    </row>
    <row r="8" spans="1:10" x14ac:dyDescent="0.25">
      <c r="A8" s="18" t="s">
        <v>2</v>
      </c>
      <c r="B8" s="4">
        <v>2</v>
      </c>
      <c r="C8" s="2">
        <v>0</v>
      </c>
      <c r="D8" s="2">
        <v>0</v>
      </c>
      <c r="E8" s="2">
        <v>0</v>
      </c>
      <c r="F8" s="2">
        <v>4</v>
      </c>
      <c r="G8" s="27">
        <v>0</v>
      </c>
      <c r="H8" s="34">
        <f t="shared" ref="H8:H21" si="0">SUM(B8:G8)</f>
        <v>6</v>
      </c>
      <c r="I8" s="4">
        <v>0</v>
      </c>
      <c r="J8" s="19">
        <f t="shared" ref="J8:J21" si="1">SUM(H8,I8)</f>
        <v>6</v>
      </c>
    </row>
    <row r="9" spans="1:10" x14ac:dyDescent="0.25">
      <c r="A9" s="18" t="s">
        <v>3</v>
      </c>
      <c r="B9" s="4">
        <v>61</v>
      </c>
      <c r="C9" s="2">
        <v>37</v>
      </c>
      <c r="D9" s="2">
        <v>16</v>
      </c>
      <c r="E9" s="2">
        <v>5</v>
      </c>
      <c r="F9" s="2">
        <v>45</v>
      </c>
      <c r="G9" s="27">
        <v>25</v>
      </c>
      <c r="H9" s="34">
        <f t="shared" si="0"/>
        <v>189</v>
      </c>
      <c r="I9" s="4">
        <v>1</v>
      </c>
      <c r="J9" s="19">
        <f t="shared" si="1"/>
        <v>190</v>
      </c>
    </row>
    <row r="10" spans="1:10" x14ac:dyDescent="0.25">
      <c r="A10" s="18" t="s">
        <v>4</v>
      </c>
      <c r="B10" s="4">
        <v>149</v>
      </c>
      <c r="C10" s="2">
        <v>75</v>
      </c>
      <c r="D10" s="2">
        <v>27</v>
      </c>
      <c r="E10" s="2">
        <v>6</v>
      </c>
      <c r="F10" s="2">
        <v>102</v>
      </c>
      <c r="G10" s="27">
        <v>54</v>
      </c>
      <c r="H10" s="34">
        <f t="shared" si="0"/>
        <v>413</v>
      </c>
      <c r="I10" s="4">
        <v>1</v>
      </c>
      <c r="J10" s="19">
        <f t="shared" si="1"/>
        <v>414</v>
      </c>
    </row>
    <row r="11" spans="1:10" x14ac:dyDescent="0.25">
      <c r="A11" s="18" t="s">
        <v>5</v>
      </c>
      <c r="B11" s="4">
        <v>1433</v>
      </c>
      <c r="C11" s="2">
        <v>1781</v>
      </c>
      <c r="D11" s="2">
        <v>1257</v>
      </c>
      <c r="E11" s="2">
        <v>315</v>
      </c>
      <c r="F11" s="2">
        <v>1011</v>
      </c>
      <c r="G11" s="27">
        <v>1078</v>
      </c>
      <c r="H11" s="34">
        <f t="shared" si="0"/>
        <v>6875</v>
      </c>
      <c r="I11" s="4">
        <v>41</v>
      </c>
      <c r="J11" s="19">
        <f t="shared" si="1"/>
        <v>6916</v>
      </c>
    </row>
    <row r="12" spans="1:10" x14ac:dyDescent="0.25">
      <c r="A12" s="18" t="s">
        <v>6</v>
      </c>
      <c r="B12" s="4">
        <v>3630</v>
      </c>
      <c r="C12" s="2">
        <v>5409</v>
      </c>
      <c r="D12" s="2">
        <v>3185</v>
      </c>
      <c r="E12" s="2">
        <v>799</v>
      </c>
      <c r="F12" s="2">
        <v>3807</v>
      </c>
      <c r="G12" s="27">
        <v>3821</v>
      </c>
      <c r="H12" s="34">
        <f t="shared" si="0"/>
        <v>20651</v>
      </c>
      <c r="I12" s="4">
        <v>153</v>
      </c>
      <c r="J12" s="19">
        <f t="shared" si="1"/>
        <v>20804</v>
      </c>
    </row>
    <row r="13" spans="1:10" x14ac:dyDescent="0.25">
      <c r="A13" s="18" t="s">
        <v>7</v>
      </c>
      <c r="B13" s="4">
        <v>6526</v>
      </c>
      <c r="C13" s="2">
        <v>6707</v>
      </c>
      <c r="D13" s="2">
        <v>4613</v>
      </c>
      <c r="E13" s="2">
        <v>1154</v>
      </c>
      <c r="F13" s="2">
        <v>4282</v>
      </c>
      <c r="G13" s="27">
        <v>5147</v>
      </c>
      <c r="H13" s="34">
        <f t="shared" si="0"/>
        <v>28429</v>
      </c>
      <c r="I13" s="4">
        <v>299</v>
      </c>
      <c r="J13" s="19">
        <f t="shared" si="1"/>
        <v>28728</v>
      </c>
    </row>
    <row r="14" spans="1:10" x14ac:dyDescent="0.25">
      <c r="A14" s="18" t="s">
        <v>8</v>
      </c>
      <c r="B14" s="4">
        <v>10919</v>
      </c>
      <c r="C14" s="2">
        <v>11224</v>
      </c>
      <c r="D14" s="2">
        <v>3957</v>
      </c>
      <c r="E14" s="2">
        <v>1187</v>
      </c>
      <c r="F14" s="2">
        <v>3543</v>
      </c>
      <c r="G14" s="27">
        <v>2868</v>
      </c>
      <c r="H14" s="34">
        <f t="shared" si="0"/>
        <v>33698</v>
      </c>
      <c r="I14" s="4">
        <v>427</v>
      </c>
      <c r="J14" s="19">
        <f t="shared" si="1"/>
        <v>34125</v>
      </c>
    </row>
    <row r="15" spans="1:10" x14ac:dyDescent="0.25">
      <c r="A15" s="18" t="s">
        <v>9</v>
      </c>
      <c r="B15" s="4">
        <v>9181</v>
      </c>
      <c r="C15" s="2">
        <v>5437</v>
      </c>
      <c r="D15" s="2">
        <v>813</v>
      </c>
      <c r="E15" s="2">
        <v>271</v>
      </c>
      <c r="F15" s="2">
        <v>1156</v>
      </c>
      <c r="G15" s="27">
        <v>539</v>
      </c>
      <c r="H15" s="34">
        <f t="shared" si="0"/>
        <v>17397</v>
      </c>
      <c r="I15" s="4">
        <v>81</v>
      </c>
      <c r="J15" s="19">
        <f t="shared" si="1"/>
        <v>17478</v>
      </c>
    </row>
    <row r="16" spans="1:10" x14ac:dyDescent="0.25">
      <c r="A16" s="18" t="s">
        <v>10</v>
      </c>
      <c r="B16" s="4">
        <v>4985</v>
      </c>
      <c r="C16" s="2">
        <v>2666</v>
      </c>
      <c r="D16" s="2">
        <v>500</v>
      </c>
      <c r="E16" s="2">
        <v>249</v>
      </c>
      <c r="F16" s="2">
        <v>1129</v>
      </c>
      <c r="G16" s="27">
        <v>385</v>
      </c>
      <c r="H16" s="34">
        <f t="shared" si="0"/>
        <v>9914</v>
      </c>
      <c r="I16" s="4">
        <v>59</v>
      </c>
      <c r="J16" s="19">
        <f t="shared" si="1"/>
        <v>9973</v>
      </c>
    </row>
    <row r="17" spans="1:10" x14ac:dyDescent="0.25">
      <c r="A17" s="18" t="s">
        <v>11</v>
      </c>
      <c r="B17" s="4">
        <v>384</v>
      </c>
      <c r="C17" s="2">
        <v>104</v>
      </c>
      <c r="D17" s="2">
        <v>2</v>
      </c>
      <c r="E17" s="2">
        <v>11</v>
      </c>
      <c r="F17" s="2">
        <v>0</v>
      </c>
      <c r="G17" s="27">
        <v>0</v>
      </c>
      <c r="H17" s="34">
        <f t="shared" si="0"/>
        <v>501</v>
      </c>
      <c r="I17" s="4">
        <v>0</v>
      </c>
      <c r="J17" s="19">
        <f t="shared" si="1"/>
        <v>501</v>
      </c>
    </row>
    <row r="18" spans="1:10" x14ac:dyDescent="0.25">
      <c r="A18" s="18" t="s">
        <v>12</v>
      </c>
      <c r="B18" s="4">
        <v>1450</v>
      </c>
      <c r="C18" s="2">
        <v>531</v>
      </c>
      <c r="D18" s="2">
        <v>13</v>
      </c>
      <c r="E18" s="2">
        <v>43</v>
      </c>
      <c r="F18" s="2">
        <v>0</v>
      </c>
      <c r="G18" s="27">
        <v>0</v>
      </c>
      <c r="H18" s="34">
        <f t="shared" si="0"/>
        <v>2037</v>
      </c>
      <c r="I18" s="4">
        <v>18</v>
      </c>
      <c r="J18" s="19">
        <f t="shared" si="1"/>
        <v>2055</v>
      </c>
    </row>
    <row r="19" spans="1:10" x14ac:dyDescent="0.25">
      <c r="A19" s="18" t="s">
        <v>13</v>
      </c>
      <c r="B19" s="4">
        <v>2075</v>
      </c>
      <c r="C19" s="2">
        <v>854</v>
      </c>
      <c r="D19" s="2">
        <v>34</v>
      </c>
      <c r="E19" s="2">
        <v>74</v>
      </c>
      <c r="F19" s="2">
        <v>0</v>
      </c>
      <c r="G19" s="27">
        <v>0</v>
      </c>
      <c r="H19" s="34">
        <f t="shared" si="0"/>
        <v>3037</v>
      </c>
      <c r="I19" s="4">
        <v>55</v>
      </c>
      <c r="J19" s="19">
        <f t="shared" si="1"/>
        <v>3092</v>
      </c>
    </row>
    <row r="20" spans="1:10" x14ac:dyDescent="0.25">
      <c r="A20" s="18" t="s">
        <v>14</v>
      </c>
      <c r="B20" s="4">
        <v>3524</v>
      </c>
      <c r="C20" s="2">
        <v>1427</v>
      </c>
      <c r="D20" s="2">
        <v>36</v>
      </c>
      <c r="E20" s="2">
        <v>106</v>
      </c>
      <c r="F20" s="2">
        <v>0</v>
      </c>
      <c r="G20" s="27">
        <v>0</v>
      </c>
      <c r="H20" s="34">
        <f t="shared" si="0"/>
        <v>5093</v>
      </c>
      <c r="I20" s="4">
        <v>57</v>
      </c>
      <c r="J20" s="19">
        <f t="shared" si="1"/>
        <v>5150</v>
      </c>
    </row>
    <row r="21" spans="1:10" x14ac:dyDescent="0.25">
      <c r="A21" s="18" t="s">
        <v>15</v>
      </c>
      <c r="B21" s="4">
        <v>1089</v>
      </c>
      <c r="C21" s="2">
        <v>401</v>
      </c>
      <c r="D21" s="2">
        <v>0</v>
      </c>
      <c r="E21" s="2">
        <v>14</v>
      </c>
      <c r="F21" s="2">
        <v>0</v>
      </c>
      <c r="G21" s="27">
        <v>0</v>
      </c>
      <c r="H21" s="34">
        <f t="shared" si="0"/>
        <v>1504</v>
      </c>
      <c r="I21" s="4">
        <v>0</v>
      </c>
      <c r="J21" s="19">
        <f t="shared" si="1"/>
        <v>1504</v>
      </c>
    </row>
    <row r="22" spans="1:10" x14ac:dyDescent="0.25">
      <c r="A22" s="18" t="s">
        <v>59</v>
      </c>
      <c r="B22" s="4">
        <v>2</v>
      </c>
      <c r="C22" s="2">
        <v>0</v>
      </c>
      <c r="D22" s="2">
        <v>0</v>
      </c>
      <c r="E22" s="2">
        <v>0</v>
      </c>
      <c r="F22" s="2">
        <v>0</v>
      </c>
      <c r="G22" s="27">
        <v>0</v>
      </c>
      <c r="H22" s="34">
        <f>SUM(B22:G22)</f>
        <v>2</v>
      </c>
      <c r="I22" s="4">
        <v>0</v>
      </c>
      <c r="J22" s="19">
        <f>SUM(H22,I22)</f>
        <v>2</v>
      </c>
    </row>
    <row r="23" spans="1:10" ht="15.75" thickBot="1" x14ac:dyDescent="0.3">
      <c r="A23" s="20"/>
      <c r="B23" s="7"/>
      <c r="C23" s="8"/>
      <c r="D23" s="8"/>
      <c r="E23" s="8"/>
      <c r="F23" s="8"/>
      <c r="G23" s="28"/>
      <c r="H23" s="35"/>
      <c r="I23" s="7" t="s">
        <v>29</v>
      </c>
      <c r="J23" s="21"/>
    </row>
    <row r="24" spans="1:10" ht="24.95" customHeight="1" thickBot="1" x14ac:dyDescent="0.3">
      <c r="A24" s="22" t="s">
        <v>16</v>
      </c>
      <c r="B24" s="37">
        <f>SUM(B7:B22)</f>
        <v>45411</v>
      </c>
      <c r="C24" s="37">
        <f t="shared" ref="C24:J24" si="2">SUM(C7:C22)</f>
        <v>36653</v>
      </c>
      <c r="D24" s="37">
        <f t="shared" si="2"/>
        <v>14453</v>
      </c>
      <c r="E24" s="37">
        <f t="shared" si="2"/>
        <v>4234</v>
      </c>
      <c r="F24" s="37">
        <f t="shared" si="2"/>
        <v>15079</v>
      </c>
      <c r="G24" s="38">
        <f t="shared" si="2"/>
        <v>13917</v>
      </c>
      <c r="H24" s="31">
        <f t="shared" si="2"/>
        <v>129747</v>
      </c>
      <c r="I24" s="37">
        <f t="shared" si="2"/>
        <v>1192</v>
      </c>
      <c r="J24" s="39">
        <f t="shared" si="2"/>
        <v>130939</v>
      </c>
    </row>
    <row r="25" spans="1:10" x14ac:dyDescent="0.25">
      <c r="A25" s="18" t="s">
        <v>17</v>
      </c>
      <c r="B25" s="5">
        <v>2065</v>
      </c>
      <c r="C25" s="6">
        <v>1596</v>
      </c>
      <c r="D25" s="6">
        <v>362</v>
      </c>
      <c r="E25" s="6">
        <v>171</v>
      </c>
      <c r="F25" s="6">
        <v>1902</v>
      </c>
      <c r="G25" s="26">
        <v>953</v>
      </c>
      <c r="H25" s="34">
        <f>SUM(B25:G25)</f>
        <v>7049</v>
      </c>
      <c r="I25" s="5">
        <v>69</v>
      </c>
      <c r="J25" s="23">
        <f>H25+I25</f>
        <v>7118</v>
      </c>
    </row>
    <row r="26" spans="1:10" x14ac:dyDescent="0.25">
      <c r="A26" s="18" t="s">
        <v>18</v>
      </c>
      <c r="B26" s="4">
        <v>7517</v>
      </c>
      <c r="C26" s="2">
        <v>5452</v>
      </c>
      <c r="D26" s="2">
        <v>921</v>
      </c>
      <c r="E26" s="2">
        <v>533</v>
      </c>
      <c r="F26" s="2">
        <v>4552</v>
      </c>
      <c r="G26" s="27">
        <v>2906</v>
      </c>
      <c r="H26" s="34">
        <f t="shared" ref="H26:H34" si="3">SUM(B26:G26)</f>
        <v>21881</v>
      </c>
      <c r="I26" s="4">
        <v>117</v>
      </c>
      <c r="J26" s="23">
        <f t="shared" ref="J26:J34" si="4">H26+I26</f>
        <v>21998</v>
      </c>
    </row>
    <row r="27" spans="1:10" x14ac:dyDescent="0.25">
      <c r="A27" s="18" t="s">
        <v>19</v>
      </c>
      <c r="B27" s="4">
        <v>21980</v>
      </c>
      <c r="C27" s="2">
        <v>15038</v>
      </c>
      <c r="D27" s="2">
        <v>3693</v>
      </c>
      <c r="E27" s="2">
        <v>1070</v>
      </c>
      <c r="F27" s="2">
        <v>14796</v>
      </c>
      <c r="G27" s="27">
        <v>8392</v>
      </c>
      <c r="H27" s="34">
        <f t="shared" si="3"/>
        <v>64969</v>
      </c>
      <c r="I27" s="4">
        <v>683</v>
      </c>
      <c r="J27" s="23">
        <f t="shared" si="4"/>
        <v>65652</v>
      </c>
    </row>
    <row r="28" spans="1:10" x14ac:dyDescent="0.25">
      <c r="A28" s="18" t="s">
        <v>20</v>
      </c>
      <c r="B28" s="4">
        <v>39767</v>
      </c>
      <c r="C28" s="2">
        <v>19766</v>
      </c>
      <c r="D28" s="2">
        <v>10420</v>
      </c>
      <c r="E28" s="2">
        <v>2210</v>
      </c>
      <c r="F28" s="2">
        <v>18752</v>
      </c>
      <c r="G28" s="27">
        <v>12107</v>
      </c>
      <c r="H28" s="34">
        <f t="shared" si="3"/>
        <v>103022</v>
      </c>
      <c r="I28" s="4">
        <v>1314</v>
      </c>
      <c r="J28" s="23">
        <f t="shared" si="4"/>
        <v>104336</v>
      </c>
    </row>
    <row r="29" spans="1:10" x14ac:dyDescent="0.25">
      <c r="A29" s="18" t="s">
        <v>21</v>
      </c>
      <c r="B29" s="4">
        <v>64175</v>
      </c>
      <c r="C29" s="2">
        <v>31932</v>
      </c>
      <c r="D29" s="2">
        <v>13290</v>
      </c>
      <c r="E29" s="2">
        <v>4403</v>
      </c>
      <c r="F29" s="2">
        <v>19192</v>
      </c>
      <c r="G29" s="27">
        <v>10326</v>
      </c>
      <c r="H29" s="34">
        <f t="shared" si="3"/>
        <v>143318</v>
      </c>
      <c r="I29" s="4">
        <v>1747</v>
      </c>
      <c r="J29" s="23">
        <f t="shared" si="4"/>
        <v>145065</v>
      </c>
    </row>
    <row r="30" spans="1:10" x14ac:dyDescent="0.25">
      <c r="A30" s="18" t="s">
        <v>22</v>
      </c>
      <c r="B30" s="4">
        <v>91836</v>
      </c>
      <c r="C30" s="2">
        <v>55750</v>
      </c>
      <c r="D30" s="2">
        <v>7559</v>
      </c>
      <c r="E30" s="2">
        <v>6301</v>
      </c>
      <c r="F30" s="2">
        <v>16513</v>
      </c>
      <c r="G30" s="27">
        <v>15248</v>
      </c>
      <c r="H30" s="34">
        <f t="shared" si="3"/>
        <v>193207</v>
      </c>
      <c r="I30" s="4">
        <v>2103</v>
      </c>
      <c r="J30" s="23">
        <f t="shared" si="4"/>
        <v>195310</v>
      </c>
    </row>
    <row r="31" spans="1:10" x14ac:dyDescent="0.25">
      <c r="A31" s="18" t="s">
        <v>23</v>
      </c>
      <c r="B31" s="4">
        <v>40220</v>
      </c>
      <c r="C31" s="2">
        <v>17565</v>
      </c>
      <c r="D31" s="2">
        <v>4802</v>
      </c>
      <c r="E31" s="2">
        <v>15031</v>
      </c>
      <c r="F31" s="2">
        <v>13986</v>
      </c>
      <c r="G31" s="27">
        <v>3394</v>
      </c>
      <c r="H31" s="34">
        <f t="shared" si="3"/>
        <v>94998</v>
      </c>
      <c r="I31" s="4">
        <v>178</v>
      </c>
      <c r="J31" s="23">
        <f t="shared" si="4"/>
        <v>95176</v>
      </c>
    </row>
    <row r="32" spans="1:10" x14ac:dyDescent="0.25">
      <c r="A32" s="18" t="s">
        <v>24</v>
      </c>
      <c r="B32" s="4">
        <v>21640</v>
      </c>
      <c r="C32" s="2">
        <v>7647</v>
      </c>
      <c r="D32" s="2">
        <v>1191</v>
      </c>
      <c r="E32" s="2">
        <v>3598</v>
      </c>
      <c r="F32" s="2">
        <v>363</v>
      </c>
      <c r="G32" s="27">
        <v>728</v>
      </c>
      <c r="H32" s="34">
        <f t="shared" si="3"/>
        <v>35167</v>
      </c>
      <c r="I32" s="4">
        <v>14</v>
      </c>
      <c r="J32" s="23">
        <f t="shared" si="4"/>
        <v>35181</v>
      </c>
    </row>
    <row r="33" spans="1:10" x14ac:dyDescent="0.25">
      <c r="A33" s="18" t="s">
        <v>25</v>
      </c>
      <c r="B33" s="2">
        <v>15084</v>
      </c>
      <c r="C33" s="2">
        <v>7435</v>
      </c>
      <c r="D33" s="2">
        <v>838</v>
      </c>
      <c r="E33" s="2">
        <v>1894</v>
      </c>
      <c r="F33" s="2">
        <v>649</v>
      </c>
      <c r="G33" s="27">
        <v>783</v>
      </c>
      <c r="H33" s="34">
        <f t="shared" si="3"/>
        <v>26683</v>
      </c>
      <c r="I33" s="4">
        <v>0</v>
      </c>
      <c r="J33" s="23">
        <f t="shared" si="4"/>
        <v>26683</v>
      </c>
    </row>
    <row r="34" spans="1:10" x14ac:dyDescent="0.25">
      <c r="A34" s="18" t="s">
        <v>60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70">
        <v>0</v>
      </c>
      <c r="H34" s="34">
        <f t="shared" si="3"/>
        <v>0</v>
      </c>
      <c r="I34" s="4">
        <v>0</v>
      </c>
      <c r="J34" s="23">
        <f t="shared" si="4"/>
        <v>0</v>
      </c>
    </row>
    <row r="35" spans="1:10" ht="15.75" thickBot="1" x14ac:dyDescent="0.3">
      <c r="A35" s="18"/>
      <c r="B35" s="9"/>
      <c r="C35" s="10"/>
      <c r="D35" s="10"/>
      <c r="E35" s="10"/>
      <c r="F35" s="10"/>
      <c r="G35" s="29"/>
      <c r="H35" s="34"/>
      <c r="I35" s="4"/>
      <c r="J35" s="23"/>
    </row>
    <row r="36" spans="1:10" ht="15.75" thickBot="1" x14ac:dyDescent="0.3">
      <c r="A36" s="22" t="s">
        <v>26</v>
      </c>
      <c r="B36" s="37">
        <f>SUM(B25:B34)</f>
        <v>304284</v>
      </c>
      <c r="C36" s="37">
        <f t="shared" ref="C36:J36" si="5">SUM(C25:C34)</f>
        <v>162181</v>
      </c>
      <c r="D36" s="37">
        <f t="shared" si="5"/>
        <v>43076</v>
      </c>
      <c r="E36" s="37">
        <f t="shared" si="5"/>
        <v>35211</v>
      </c>
      <c r="F36" s="37">
        <f t="shared" si="5"/>
        <v>90705</v>
      </c>
      <c r="G36" s="38">
        <f t="shared" si="5"/>
        <v>54837</v>
      </c>
      <c r="H36" s="31">
        <f t="shared" si="5"/>
        <v>690294</v>
      </c>
      <c r="I36" s="37">
        <f t="shared" si="5"/>
        <v>6225</v>
      </c>
      <c r="J36" s="39">
        <f t="shared" si="5"/>
        <v>696519</v>
      </c>
    </row>
    <row r="37" spans="1:10" ht="16.5" thickTop="1" thickBot="1" x14ac:dyDescent="0.3">
      <c r="A37" s="11" t="s">
        <v>27</v>
      </c>
      <c r="B37" s="40">
        <f>SUM(B24,B36)</f>
        <v>349695</v>
      </c>
      <c r="C37" s="40">
        <f>SUM(C24,C36)</f>
        <v>198834</v>
      </c>
      <c r="D37" s="40">
        <f>SUM(D24,D36)</f>
        <v>57529</v>
      </c>
      <c r="E37" s="40">
        <f>SUM(E24,E36)</f>
        <v>39445</v>
      </c>
      <c r="F37" s="40">
        <f>SUM(F24,F36)</f>
        <v>105784</v>
      </c>
      <c r="G37" s="41">
        <f>SUM(G24,G36)</f>
        <v>68754</v>
      </c>
      <c r="H37" s="67">
        <f>SUM(H24,H36)</f>
        <v>820041</v>
      </c>
      <c r="I37" s="40">
        <f>SUM(I24,I36)</f>
        <v>7417</v>
      </c>
      <c r="J37" s="72">
        <f>SUM(J24,J36)</f>
        <v>827458</v>
      </c>
    </row>
    <row r="38" spans="1:10" ht="15.75" thickTop="1" x14ac:dyDescent="0.25">
      <c r="B38" s="12"/>
    </row>
    <row r="39" spans="1:10" x14ac:dyDescent="0.25">
      <c r="A39" s="1" t="s">
        <v>42</v>
      </c>
    </row>
    <row r="40" spans="1:10" x14ac:dyDescent="0.25">
      <c r="I40" s="3"/>
      <c r="J40" s="3"/>
    </row>
    <row r="41" spans="1:10" x14ac:dyDescent="0.25">
      <c r="I41" s="3"/>
      <c r="J41" s="3"/>
    </row>
  </sheetData>
  <mergeCells count="5">
    <mergeCell ref="A1:J1"/>
    <mergeCell ref="A2:J2"/>
    <mergeCell ref="A3:J3"/>
    <mergeCell ref="A4:J4"/>
    <mergeCell ref="A5:J5"/>
  </mergeCells>
  <printOptions horizontalCentered="1"/>
  <pageMargins left="0.7" right="0.7" top="0.75" bottom="0.75" header="0.3" footer="0.3"/>
  <pageSetup scale="67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0"/>
  <sheetViews>
    <sheetView tabSelected="1" workbookViewId="0">
      <selection activeCell="A3" sqref="A3:J3"/>
    </sheetView>
  </sheetViews>
  <sheetFormatPr defaultRowHeight="15" x14ac:dyDescent="0.25"/>
  <cols>
    <col min="1" max="1" width="40.85546875" style="1" bestFit="1" customWidth="1"/>
    <col min="2" max="10" width="15.7109375" customWidth="1"/>
  </cols>
  <sheetData>
    <row r="1" spans="1:10" ht="19.5" thickTop="1" x14ac:dyDescent="0.3">
      <c r="A1" s="48" t="s">
        <v>28</v>
      </c>
      <c r="B1" s="49"/>
      <c r="C1" s="49"/>
      <c r="D1" s="49"/>
      <c r="E1" s="49"/>
      <c r="F1" s="49"/>
      <c r="G1" s="49"/>
      <c r="H1" s="49"/>
      <c r="I1" s="49"/>
      <c r="J1" s="50"/>
    </row>
    <row r="2" spans="1:10" ht="18.75" x14ac:dyDescent="0.3">
      <c r="A2" s="51" t="s">
        <v>30</v>
      </c>
      <c r="B2" s="52"/>
      <c r="C2" s="52"/>
      <c r="D2" s="52"/>
      <c r="E2" s="52"/>
      <c r="F2" s="52"/>
      <c r="G2" s="52"/>
      <c r="H2" s="52"/>
      <c r="I2" s="52"/>
      <c r="J2" s="53"/>
    </row>
    <row r="3" spans="1:10" ht="18.75" x14ac:dyDescent="0.3">
      <c r="A3" s="54" t="s">
        <v>43</v>
      </c>
      <c r="B3" s="55"/>
      <c r="C3" s="55"/>
      <c r="D3" s="55"/>
      <c r="E3" s="55"/>
      <c r="F3" s="55"/>
      <c r="G3" s="55"/>
      <c r="H3" s="55"/>
      <c r="I3" s="55"/>
      <c r="J3" s="56"/>
    </row>
    <row r="4" spans="1:10" ht="19.5" thickBot="1" x14ac:dyDescent="0.35">
      <c r="A4" s="57"/>
      <c r="B4" s="58"/>
      <c r="C4" s="58"/>
      <c r="D4" s="58"/>
      <c r="E4" s="58"/>
      <c r="F4" s="58"/>
      <c r="G4" s="58"/>
      <c r="H4" s="58"/>
      <c r="I4" s="58"/>
      <c r="J4" s="59"/>
    </row>
    <row r="5" spans="1:10" ht="15.75" thickBot="1" x14ac:dyDescent="0.3">
      <c r="A5" s="60"/>
      <c r="B5" s="61"/>
      <c r="C5" s="61"/>
      <c r="D5" s="61"/>
      <c r="E5" s="61"/>
      <c r="F5" s="61"/>
      <c r="G5" s="61"/>
      <c r="H5" s="61"/>
      <c r="I5" s="61"/>
      <c r="J5" s="62"/>
    </row>
    <row r="6" spans="1:10" s="13" customFormat="1" ht="30.75" thickBot="1" x14ac:dyDescent="0.3">
      <c r="A6" s="16" t="s">
        <v>0</v>
      </c>
      <c r="B6" s="14" t="s">
        <v>31</v>
      </c>
      <c r="C6" s="15" t="s">
        <v>32</v>
      </c>
      <c r="D6" s="15" t="s">
        <v>33</v>
      </c>
      <c r="E6" s="15" t="s">
        <v>34</v>
      </c>
      <c r="F6" s="15" t="s">
        <v>35</v>
      </c>
      <c r="G6" s="25" t="s">
        <v>36</v>
      </c>
      <c r="H6" s="33" t="s">
        <v>37</v>
      </c>
      <c r="I6" s="30" t="s">
        <v>38</v>
      </c>
      <c r="J6" s="17" t="s">
        <v>39</v>
      </c>
    </row>
    <row r="7" spans="1:10" ht="15.75" thickTop="1" x14ac:dyDescent="0.25">
      <c r="A7" s="18" t="s">
        <v>1</v>
      </c>
      <c r="B7" s="5">
        <v>1</v>
      </c>
      <c r="C7" s="6">
        <v>0</v>
      </c>
      <c r="D7" s="6">
        <v>0</v>
      </c>
      <c r="E7" s="6">
        <v>0</v>
      </c>
      <c r="F7" s="6">
        <v>0</v>
      </c>
      <c r="G7" s="26">
        <v>0</v>
      </c>
      <c r="H7" s="34">
        <f>SUM(B7:G7)</f>
        <v>1</v>
      </c>
      <c r="I7" s="5">
        <v>0</v>
      </c>
      <c r="J7" s="19">
        <f>SUM(H7,I7)</f>
        <v>1</v>
      </c>
    </row>
    <row r="8" spans="1:10" x14ac:dyDescent="0.25">
      <c r="A8" s="18" t="s">
        <v>2</v>
      </c>
      <c r="B8" s="4">
        <v>2</v>
      </c>
      <c r="C8" s="2">
        <v>0</v>
      </c>
      <c r="D8" s="2">
        <v>0</v>
      </c>
      <c r="E8" s="2">
        <v>1</v>
      </c>
      <c r="F8" s="2">
        <v>4</v>
      </c>
      <c r="G8" s="27">
        <v>0</v>
      </c>
      <c r="H8" s="34">
        <f t="shared" ref="H8:H21" si="0">SUM(B8:G8)</f>
        <v>7</v>
      </c>
      <c r="I8" s="4">
        <v>0</v>
      </c>
      <c r="J8" s="19">
        <f t="shared" ref="J8:J21" si="1">SUM(H8,I8)</f>
        <v>7</v>
      </c>
    </row>
    <row r="9" spans="1:10" x14ac:dyDescent="0.25">
      <c r="A9" s="18" t="s">
        <v>3</v>
      </c>
      <c r="B9" s="4">
        <v>63</v>
      </c>
      <c r="C9" s="2">
        <v>36</v>
      </c>
      <c r="D9" s="2">
        <v>16</v>
      </c>
      <c r="E9" s="2">
        <v>4</v>
      </c>
      <c r="F9" s="2">
        <v>46</v>
      </c>
      <c r="G9" s="27">
        <v>25</v>
      </c>
      <c r="H9" s="34">
        <f t="shared" si="0"/>
        <v>190</v>
      </c>
      <c r="I9" s="4">
        <v>0</v>
      </c>
      <c r="J9" s="19">
        <f t="shared" si="1"/>
        <v>190</v>
      </c>
    </row>
    <row r="10" spans="1:10" x14ac:dyDescent="0.25">
      <c r="A10" s="18" t="s">
        <v>4</v>
      </c>
      <c r="B10" s="4">
        <v>150</v>
      </c>
      <c r="C10" s="2">
        <v>75</v>
      </c>
      <c r="D10" s="2">
        <v>27</v>
      </c>
      <c r="E10" s="2">
        <v>6</v>
      </c>
      <c r="F10" s="2">
        <v>104</v>
      </c>
      <c r="G10" s="27">
        <v>54</v>
      </c>
      <c r="H10" s="34">
        <f t="shared" si="0"/>
        <v>416</v>
      </c>
      <c r="I10" s="4">
        <v>1</v>
      </c>
      <c r="J10" s="19">
        <f t="shared" si="1"/>
        <v>417</v>
      </c>
    </row>
    <row r="11" spans="1:10" x14ac:dyDescent="0.25">
      <c r="A11" s="18" t="s">
        <v>5</v>
      </c>
      <c r="B11" s="4">
        <v>1435</v>
      </c>
      <c r="C11" s="2">
        <v>1804</v>
      </c>
      <c r="D11" s="2">
        <v>1280</v>
      </c>
      <c r="E11" s="2">
        <v>316</v>
      </c>
      <c r="F11" s="2">
        <v>1006</v>
      </c>
      <c r="G11" s="27">
        <v>1079</v>
      </c>
      <c r="H11" s="34">
        <f t="shared" si="0"/>
        <v>6920</v>
      </c>
      <c r="I11" s="4">
        <v>45</v>
      </c>
      <c r="J11" s="19">
        <f t="shared" si="1"/>
        <v>6965</v>
      </c>
    </row>
    <row r="12" spans="1:10" x14ac:dyDescent="0.25">
      <c r="A12" s="18" t="s">
        <v>6</v>
      </c>
      <c r="B12" s="4">
        <v>3619</v>
      </c>
      <c r="C12" s="2">
        <v>5406</v>
      </c>
      <c r="D12" s="2">
        <v>3198</v>
      </c>
      <c r="E12" s="2">
        <v>786</v>
      </c>
      <c r="F12" s="2">
        <v>3773</v>
      </c>
      <c r="G12" s="27">
        <v>3871</v>
      </c>
      <c r="H12" s="34">
        <f t="shared" si="0"/>
        <v>20653</v>
      </c>
      <c r="I12" s="4">
        <v>141</v>
      </c>
      <c r="J12" s="19">
        <f t="shared" si="1"/>
        <v>20794</v>
      </c>
    </row>
    <row r="13" spans="1:10" x14ac:dyDescent="0.25">
      <c r="A13" s="18" t="s">
        <v>7</v>
      </c>
      <c r="B13" s="4">
        <v>6465</v>
      </c>
      <c r="C13" s="2">
        <v>6610</v>
      </c>
      <c r="D13" s="2">
        <v>4656</v>
      </c>
      <c r="E13" s="2">
        <v>1172</v>
      </c>
      <c r="F13" s="2">
        <v>4288</v>
      </c>
      <c r="G13" s="27">
        <v>5090</v>
      </c>
      <c r="H13" s="34">
        <f t="shared" si="0"/>
        <v>28281</v>
      </c>
      <c r="I13" s="4">
        <v>314</v>
      </c>
      <c r="J13" s="19">
        <f t="shared" si="1"/>
        <v>28595</v>
      </c>
    </row>
    <row r="14" spans="1:10" x14ac:dyDescent="0.25">
      <c r="A14" s="18" t="s">
        <v>8</v>
      </c>
      <c r="B14" s="4">
        <v>10991</v>
      </c>
      <c r="C14" s="2">
        <v>11227</v>
      </c>
      <c r="D14" s="2">
        <v>3898</v>
      </c>
      <c r="E14" s="2">
        <v>1152</v>
      </c>
      <c r="F14" s="2">
        <v>3561</v>
      </c>
      <c r="G14" s="27">
        <v>2902</v>
      </c>
      <c r="H14" s="34">
        <f t="shared" si="0"/>
        <v>33731</v>
      </c>
      <c r="I14" s="4">
        <v>401</v>
      </c>
      <c r="J14" s="19">
        <f t="shared" si="1"/>
        <v>34132</v>
      </c>
    </row>
    <row r="15" spans="1:10" x14ac:dyDescent="0.25">
      <c r="A15" s="18" t="s">
        <v>9</v>
      </c>
      <c r="B15" s="4">
        <v>9117</v>
      </c>
      <c r="C15" s="2">
        <v>5488</v>
      </c>
      <c r="D15" s="2">
        <v>792</v>
      </c>
      <c r="E15" s="2">
        <v>268</v>
      </c>
      <c r="F15" s="2">
        <v>1197</v>
      </c>
      <c r="G15" s="27">
        <v>547</v>
      </c>
      <c r="H15" s="34">
        <f t="shared" si="0"/>
        <v>17409</v>
      </c>
      <c r="I15" s="4">
        <v>75</v>
      </c>
      <c r="J15" s="19">
        <f t="shared" si="1"/>
        <v>17484</v>
      </c>
    </row>
    <row r="16" spans="1:10" x14ac:dyDescent="0.25">
      <c r="A16" s="18" t="s">
        <v>10</v>
      </c>
      <c r="B16" s="4">
        <v>5277</v>
      </c>
      <c r="C16" s="2">
        <v>2641</v>
      </c>
      <c r="D16" s="2">
        <v>494</v>
      </c>
      <c r="E16" s="2">
        <v>249</v>
      </c>
      <c r="F16" s="2">
        <v>1105</v>
      </c>
      <c r="G16" s="27">
        <v>369</v>
      </c>
      <c r="H16" s="34">
        <f t="shared" si="0"/>
        <v>10135</v>
      </c>
      <c r="I16" s="4">
        <v>54</v>
      </c>
      <c r="J16" s="19">
        <f t="shared" si="1"/>
        <v>10189</v>
      </c>
    </row>
    <row r="17" spans="1:10" x14ac:dyDescent="0.25">
      <c r="A17" s="18" t="s">
        <v>11</v>
      </c>
      <c r="B17" s="4">
        <v>379</v>
      </c>
      <c r="C17" s="2">
        <v>102</v>
      </c>
      <c r="D17" s="2">
        <v>2</v>
      </c>
      <c r="E17" s="2">
        <v>12</v>
      </c>
      <c r="F17" s="2">
        <v>0</v>
      </c>
      <c r="G17" s="27">
        <v>0</v>
      </c>
      <c r="H17" s="34">
        <f t="shared" si="0"/>
        <v>495</v>
      </c>
      <c r="I17" s="4">
        <v>0</v>
      </c>
      <c r="J17" s="19">
        <f t="shared" si="1"/>
        <v>495</v>
      </c>
    </row>
    <row r="18" spans="1:10" x14ac:dyDescent="0.25">
      <c r="A18" s="18" t="s">
        <v>12</v>
      </c>
      <c r="B18" s="4">
        <v>1444</v>
      </c>
      <c r="C18" s="2">
        <v>519</v>
      </c>
      <c r="D18" s="2">
        <v>13</v>
      </c>
      <c r="E18" s="2">
        <v>42</v>
      </c>
      <c r="F18" s="2">
        <v>0</v>
      </c>
      <c r="G18" s="27">
        <v>0</v>
      </c>
      <c r="H18" s="34">
        <f t="shared" si="0"/>
        <v>2018</v>
      </c>
      <c r="I18" s="4">
        <v>25</v>
      </c>
      <c r="J18" s="19">
        <f t="shared" si="1"/>
        <v>2043</v>
      </c>
    </row>
    <row r="19" spans="1:10" x14ac:dyDescent="0.25">
      <c r="A19" s="18" t="s">
        <v>13</v>
      </c>
      <c r="B19" s="4">
        <v>2072</v>
      </c>
      <c r="C19" s="2">
        <v>871</v>
      </c>
      <c r="D19" s="2">
        <v>33</v>
      </c>
      <c r="E19" s="2">
        <v>73</v>
      </c>
      <c r="F19" s="2">
        <v>0</v>
      </c>
      <c r="G19" s="27">
        <v>0</v>
      </c>
      <c r="H19" s="34">
        <f t="shared" si="0"/>
        <v>3049</v>
      </c>
      <c r="I19" s="4">
        <v>58</v>
      </c>
      <c r="J19" s="19">
        <f t="shared" si="1"/>
        <v>3107</v>
      </c>
    </row>
    <row r="20" spans="1:10" x14ac:dyDescent="0.25">
      <c r="A20" s="18" t="s">
        <v>14</v>
      </c>
      <c r="B20" s="4">
        <v>3526</v>
      </c>
      <c r="C20" s="2">
        <v>1418</v>
      </c>
      <c r="D20" s="2">
        <v>36</v>
      </c>
      <c r="E20" s="2">
        <v>105</v>
      </c>
      <c r="F20" s="2">
        <v>0</v>
      </c>
      <c r="G20" s="27">
        <v>0</v>
      </c>
      <c r="H20" s="34">
        <f t="shared" si="0"/>
        <v>5085</v>
      </c>
      <c r="I20" s="4">
        <v>55</v>
      </c>
      <c r="J20" s="19">
        <f t="shared" si="1"/>
        <v>5140</v>
      </c>
    </row>
    <row r="21" spans="1:10" x14ac:dyDescent="0.25">
      <c r="A21" s="18" t="s">
        <v>15</v>
      </c>
      <c r="B21" s="4">
        <v>1163</v>
      </c>
      <c r="C21" s="2">
        <v>392</v>
      </c>
      <c r="D21" s="2">
        <v>0</v>
      </c>
      <c r="E21" s="2">
        <v>14</v>
      </c>
      <c r="F21" s="2">
        <v>0</v>
      </c>
      <c r="G21" s="27">
        <v>0</v>
      </c>
      <c r="H21" s="34">
        <f t="shared" si="0"/>
        <v>1569</v>
      </c>
      <c r="I21" s="4">
        <v>0</v>
      </c>
      <c r="J21" s="19">
        <f t="shared" si="1"/>
        <v>1569</v>
      </c>
    </row>
    <row r="22" spans="1:10" x14ac:dyDescent="0.25">
      <c r="A22" s="18" t="s">
        <v>59</v>
      </c>
      <c r="B22" s="4">
        <v>1</v>
      </c>
      <c r="C22" s="2">
        <v>0</v>
      </c>
      <c r="D22" s="2">
        <v>0</v>
      </c>
      <c r="E22" s="2">
        <v>0</v>
      </c>
      <c r="F22" s="2">
        <v>0</v>
      </c>
      <c r="G22" s="27">
        <v>0</v>
      </c>
      <c r="H22" s="34">
        <f>SUM(B22:G22)</f>
        <v>1</v>
      </c>
      <c r="I22" s="4">
        <v>0</v>
      </c>
      <c r="J22" s="19">
        <f>SUM(H22,I22)</f>
        <v>1</v>
      </c>
    </row>
    <row r="23" spans="1:10" ht="15.75" thickBot="1" x14ac:dyDescent="0.3">
      <c r="A23" s="20"/>
      <c r="B23" s="7"/>
      <c r="C23" s="8"/>
      <c r="D23" s="8"/>
      <c r="E23" s="8"/>
      <c r="F23" s="8"/>
      <c r="G23" s="28"/>
      <c r="H23" s="35"/>
      <c r="I23" s="7" t="s">
        <v>29</v>
      </c>
      <c r="J23" s="21"/>
    </row>
    <row r="24" spans="1:10" ht="24.95" customHeight="1" thickBot="1" x14ac:dyDescent="0.3">
      <c r="A24" s="22" t="s">
        <v>16</v>
      </c>
      <c r="B24" s="37">
        <f>SUM(B7:B22)</f>
        <v>45705</v>
      </c>
      <c r="C24" s="37">
        <f t="shared" ref="C24:J24" si="2">SUM(C7:C22)</f>
        <v>36589</v>
      </c>
      <c r="D24" s="37">
        <f t="shared" si="2"/>
        <v>14445</v>
      </c>
      <c r="E24" s="37">
        <f t="shared" si="2"/>
        <v>4200</v>
      </c>
      <c r="F24" s="37">
        <f t="shared" si="2"/>
        <v>15084</v>
      </c>
      <c r="G24" s="38">
        <f t="shared" si="2"/>
        <v>13937</v>
      </c>
      <c r="H24" s="31">
        <f t="shared" si="2"/>
        <v>129960</v>
      </c>
      <c r="I24" s="37">
        <f t="shared" si="2"/>
        <v>1169</v>
      </c>
      <c r="J24" s="39">
        <f t="shared" si="2"/>
        <v>131129</v>
      </c>
    </row>
    <row r="25" spans="1:10" x14ac:dyDescent="0.25">
      <c r="A25" s="18" t="s">
        <v>17</v>
      </c>
      <c r="B25" s="5">
        <v>2058</v>
      </c>
      <c r="C25" s="6">
        <v>1578</v>
      </c>
      <c r="D25" s="6">
        <v>361</v>
      </c>
      <c r="E25" s="6">
        <v>173</v>
      </c>
      <c r="F25" s="6">
        <v>1906</v>
      </c>
      <c r="G25" s="26">
        <v>943</v>
      </c>
      <c r="H25" s="34">
        <f>SUM(B25:G25)</f>
        <v>7019</v>
      </c>
      <c r="I25" s="5">
        <v>74</v>
      </c>
      <c r="J25" s="23">
        <f>H25+I25</f>
        <v>7093</v>
      </c>
    </row>
    <row r="26" spans="1:10" x14ac:dyDescent="0.25">
      <c r="A26" s="18" t="s">
        <v>18</v>
      </c>
      <c r="B26" s="4">
        <v>7506</v>
      </c>
      <c r="C26" s="2">
        <v>5800</v>
      </c>
      <c r="D26" s="2">
        <v>910</v>
      </c>
      <c r="E26" s="2">
        <v>521</v>
      </c>
      <c r="F26" s="2">
        <v>4565</v>
      </c>
      <c r="G26" s="27">
        <v>2912</v>
      </c>
      <c r="H26" s="34">
        <f t="shared" ref="H26:H34" si="3">SUM(B26:G26)</f>
        <v>22214</v>
      </c>
      <c r="I26" s="4">
        <v>112</v>
      </c>
      <c r="J26" s="23">
        <f t="shared" ref="J26:J34" si="4">H26+I26</f>
        <v>22326</v>
      </c>
    </row>
    <row r="27" spans="1:10" x14ac:dyDescent="0.25">
      <c r="A27" s="18" t="s">
        <v>19</v>
      </c>
      <c r="B27" s="4">
        <v>21947</v>
      </c>
      <c r="C27" s="2">
        <v>14505</v>
      </c>
      <c r="D27" s="2">
        <v>3702</v>
      </c>
      <c r="E27" s="2">
        <v>1058</v>
      </c>
      <c r="F27" s="2">
        <v>14762</v>
      </c>
      <c r="G27" s="27">
        <v>8381</v>
      </c>
      <c r="H27" s="34">
        <f t="shared" si="3"/>
        <v>64355</v>
      </c>
      <c r="I27" s="4">
        <v>666</v>
      </c>
      <c r="J27" s="23">
        <f t="shared" si="4"/>
        <v>65021</v>
      </c>
    </row>
    <row r="28" spans="1:10" x14ac:dyDescent="0.25">
      <c r="A28" s="18" t="s">
        <v>20</v>
      </c>
      <c r="B28" s="4">
        <v>39493</v>
      </c>
      <c r="C28" s="2">
        <v>20185</v>
      </c>
      <c r="D28" s="2">
        <v>10369</v>
      </c>
      <c r="E28" s="2">
        <v>2166</v>
      </c>
      <c r="F28" s="2">
        <v>18747</v>
      </c>
      <c r="G28" s="27">
        <v>12103</v>
      </c>
      <c r="H28" s="34">
        <f t="shared" si="3"/>
        <v>103063</v>
      </c>
      <c r="I28" s="4">
        <v>1253</v>
      </c>
      <c r="J28" s="23">
        <f t="shared" si="4"/>
        <v>104316</v>
      </c>
    </row>
    <row r="29" spans="1:10" x14ac:dyDescent="0.25">
      <c r="A29" s="18" t="s">
        <v>21</v>
      </c>
      <c r="B29" s="4">
        <v>64322</v>
      </c>
      <c r="C29" s="2">
        <v>31257</v>
      </c>
      <c r="D29" s="2">
        <v>13276</v>
      </c>
      <c r="E29" s="2">
        <v>4300</v>
      </c>
      <c r="F29" s="2">
        <v>19254</v>
      </c>
      <c r="G29" s="27">
        <v>10451</v>
      </c>
      <c r="H29" s="34">
        <f t="shared" si="3"/>
        <v>142860</v>
      </c>
      <c r="I29" s="4">
        <v>1718</v>
      </c>
      <c r="J29" s="23">
        <f t="shared" si="4"/>
        <v>144578</v>
      </c>
    </row>
    <row r="30" spans="1:10" x14ac:dyDescent="0.25">
      <c r="A30" s="18" t="s">
        <v>22</v>
      </c>
      <c r="B30" s="4">
        <v>92419</v>
      </c>
      <c r="C30" s="2">
        <v>56058</v>
      </c>
      <c r="D30" s="2">
        <v>7521</v>
      </c>
      <c r="E30" s="2">
        <v>6205</v>
      </c>
      <c r="F30" s="2">
        <v>16465</v>
      </c>
      <c r="G30" s="27">
        <v>15120</v>
      </c>
      <c r="H30" s="34">
        <f t="shared" si="3"/>
        <v>193788</v>
      </c>
      <c r="I30" s="4">
        <v>1905</v>
      </c>
      <c r="J30" s="23">
        <f t="shared" si="4"/>
        <v>195693</v>
      </c>
    </row>
    <row r="31" spans="1:10" x14ac:dyDescent="0.25">
      <c r="A31" s="18" t="s">
        <v>23</v>
      </c>
      <c r="B31" s="4">
        <v>39939</v>
      </c>
      <c r="C31" s="2">
        <v>17583</v>
      </c>
      <c r="D31" s="2">
        <v>4760</v>
      </c>
      <c r="E31" s="2">
        <v>15355</v>
      </c>
      <c r="F31" s="2">
        <v>13908</v>
      </c>
      <c r="G31" s="27">
        <v>3214</v>
      </c>
      <c r="H31" s="34">
        <f t="shared" si="3"/>
        <v>94759</v>
      </c>
      <c r="I31" s="4">
        <v>144</v>
      </c>
      <c r="J31" s="23">
        <f t="shared" si="4"/>
        <v>94903</v>
      </c>
    </row>
    <row r="32" spans="1:10" x14ac:dyDescent="0.25">
      <c r="A32" s="18" t="s">
        <v>24</v>
      </c>
      <c r="B32" s="4">
        <v>21955</v>
      </c>
      <c r="C32" s="2">
        <v>7496</v>
      </c>
      <c r="D32" s="2">
        <v>1202</v>
      </c>
      <c r="E32" s="2">
        <v>3283</v>
      </c>
      <c r="F32" s="2">
        <v>373</v>
      </c>
      <c r="G32" s="27">
        <v>702</v>
      </c>
      <c r="H32" s="34">
        <f t="shared" si="3"/>
        <v>35011</v>
      </c>
      <c r="I32" s="4">
        <v>3</v>
      </c>
      <c r="J32" s="23">
        <f t="shared" si="4"/>
        <v>35014</v>
      </c>
    </row>
    <row r="33" spans="1:10" x14ac:dyDescent="0.25">
      <c r="A33" s="18" t="s">
        <v>25</v>
      </c>
      <c r="B33" s="2">
        <v>14679</v>
      </c>
      <c r="C33" s="2">
        <v>7501</v>
      </c>
      <c r="D33" s="2">
        <v>813</v>
      </c>
      <c r="E33" s="2">
        <v>1645</v>
      </c>
      <c r="F33" s="2">
        <v>664</v>
      </c>
      <c r="G33" s="27">
        <v>731</v>
      </c>
      <c r="H33" s="34">
        <f t="shared" si="3"/>
        <v>26033</v>
      </c>
      <c r="I33" s="4">
        <v>0</v>
      </c>
      <c r="J33" s="23">
        <f t="shared" si="4"/>
        <v>26033</v>
      </c>
    </row>
    <row r="34" spans="1:10" x14ac:dyDescent="0.25">
      <c r="A34" s="18" t="s">
        <v>60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70">
        <v>0</v>
      </c>
      <c r="H34" s="34">
        <f t="shared" si="3"/>
        <v>0</v>
      </c>
      <c r="I34" s="4">
        <v>0</v>
      </c>
      <c r="J34" s="23">
        <f t="shared" si="4"/>
        <v>0</v>
      </c>
    </row>
    <row r="35" spans="1:10" ht="15.75" thickBot="1" x14ac:dyDescent="0.3">
      <c r="A35" s="18"/>
      <c r="B35" s="9"/>
      <c r="C35" s="10"/>
      <c r="D35" s="10"/>
      <c r="E35" s="10"/>
      <c r="F35" s="10"/>
      <c r="G35" s="29"/>
      <c r="H35" s="34"/>
      <c r="I35" s="4"/>
      <c r="J35" s="23"/>
    </row>
    <row r="36" spans="1:10" ht="15.75" thickBot="1" x14ac:dyDescent="0.3">
      <c r="A36" s="22" t="s">
        <v>26</v>
      </c>
      <c r="B36" s="37">
        <f>SUM(B25:B34)</f>
        <v>304318</v>
      </c>
      <c r="C36" s="37">
        <f t="shared" ref="C36:J36" si="5">SUM(C25:C34)</f>
        <v>161963</v>
      </c>
      <c r="D36" s="37">
        <f t="shared" si="5"/>
        <v>42914</v>
      </c>
      <c r="E36" s="37">
        <f t="shared" si="5"/>
        <v>34706</v>
      </c>
      <c r="F36" s="37">
        <f t="shared" si="5"/>
        <v>90644</v>
      </c>
      <c r="G36" s="38">
        <f t="shared" si="5"/>
        <v>54557</v>
      </c>
      <c r="H36" s="31">
        <f t="shared" si="5"/>
        <v>689102</v>
      </c>
      <c r="I36" s="37">
        <f t="shared" si="5"/>
        <v>5875</v>
      </c>
      <c r="J36" s="39">
        <f t="shared" si="5"/>
        <v>694977</v>
      </c>
    </row>
    <row r="37" spans="1:10" ht="16.5" thickTop="1" thickBot="1" x14ac:dyDescent="0.3">
      <c r="A37" s="11" t="s">
        <v>27</v>
      </c>
      <c r="B37" s="40">
        <f>SUM(B24,B36)</f>
        <v>350023</v>
      </c>
      <c r="C37" s="40">
        <f>SUM(C24,C36)</f>
        <v>198552</v>
      </c>
      <c r="D37" s="40">
        <f>SUM(D24,D36)</f>
        <v>57359</v>
      </c>
      <c r="E37" s="40">
        <f>SUM(E24,E36)</f>
        <v>38906</v>
      </c>
      <c r="F37" s="40">
        <f>SUM(F24,F36)</f>
        <v>105728</v>
      </c>
      <c r="G37" s="41">
        <f>SUM(G24,G36)</f>
        <v>68494</v>
      </c>
      <c r="H37" s="67">
        <f>SUM(H24,H36)</f>
        <v>819062</v>
      </c>
      <c r="I37" s="40">
        <f>SUM(I24,I36)</f>
        <v>7044</v>
      </c>
      <c r="J37" s="72">
        <f>SUM(J24,J36)</f>
        <v>826106</v>
      </c>
    </row>
    <row r="38" spans="1:10" ht="15.75" thickTop="1" x14ac:dyDescent="0.25">
      <c r="B38" s="12"/>
    </row>
    <row r="39" spans="1:10" x14ac:dyDescent="0.25">
      <c r="I39" s="3"/>
      <c r="J39" s="3"/>
    </row>
    <row r="40" spans="1:10" x14ac:dyDescent="0.25">
      <c r="I40" s="3"/>
      <c r="J40" s="3"/>
    </row>
  </sheetData>
  <mergeCells count="5">
    <mergeCell ref="A1:J1"/>
    <mergeCell ref="A2:J2"/>
    <mergeCell ref="A3:J3"/>
    <mergeCell ref="A4:J4"/>
    <mergeCell ref="A5:J5"/>
  </mergeCells>
  <printOptions horizontalCentered="1"/>
  <pageMargins left="0.7" right="0.7" top="0.75" bottom="0.75" header="0.3" footer="0.3"/>
  <pageSetup scale="6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201410</vt:lpstr>
      <vt:lpstr>201411</vt:lpstr>
      <vt:lpstr>201412</vt:lpstr>
      <vt:lpstr>201501</vt:lpstr>
      <vt:lpstr>201502</vt:lpstr>
      <vt:lpstr>201503</vt:lpstr>
      <vt:lpstr>201504</vt:lpstr>
      <vt:lpstr>201505</vt:lpstr>
      <vt:lpstr>201506</vt:lpstr>
      <vt:lpstr>201507</vt:lpstr>
      <vt:lpstr>201508</vt:lpstr>
      <vt:lpstr>201509</vt:lpstr>
      <vt:lpstr>'201410'!Print_Area</vt:lpstr>
      <vt:lpstr>'201411'!Print_Area</vt:lpstr>
      <vt:lpstr>'201412'!Print_Area</vt:lpstr>
      <vt:lpstr>'201501'!Print_Area</vt:lpstr>
      <vt:lpstr>'201502'!Print_Area</vt:lpstr>
      <vt:lpstr>'201503'!Print_Area</vt:lpstr>
      <vt:lpstr>'201504'!Print_Area</vt:lpstr>
      <vt:lpstr>'201505'!Print_Area</vt:lpstr>
      <vt:lpstr>'201506'!Print_Area</vt:lpstr>
      <vt:lpstr>'201507'!Print_Area</vt:lpstr>
      <vt:lpstr>'201508'!Print_Area</vt:lpstr>
      <vt:lpstr>'201509'!Print_Area</vt:lpstr>
    </vt:vector>
  </TitlesOfParts>
  <Company>Defense Manpower Data Center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Tong, Man K CIV DMDC</dc:creator>
  <cp:lastModifiedBy>Seggerman, Scott L CIV DMDC</cp:lastModifiedBy>
  <cp:lastPrinted>2014-11-03T18:18:38Z</cp:lastPrinted>
  <dcterms:created xsi:type="dcterms:W3CDTF">2012-07-23T22:14:11Z</dcterms:created>
  <dcterms:modified xsi:type="dcterms:W3CDTF">2017-01-25T16:57:28Z</dcterms:modified>
</cp:coreProperties>
</file>